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TraderX\CSV\"/>
    </mc:Choice>
  </mc:AlternateContent>
  <xr:revisionPtr revIDLastSave="0" documentId="13_ncr:1_{A8CCF2EE-C50A-4ABA-9D5A-FB02ADC52E63}" xr6:coauthVersionLast="47" xr6:coauthVersionMax="47" xr10:uidLastSave="{00000000-0000-0000-0000-000000000000}"/>
  <bookViews>
    <workbookView xWindow="-108" yWindow="-108" windowWidth="23256" windowHeight="12456" tabRatio="743" firstSheet="2" activeTab="2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Activities!$A$1:$E$75</definedName>
    <definedName name="_xlnm._FilterDatabase" localSheetId="7" hidden="1">'Container Interface Flows'!$A$1:$C$496</definedName>
    <definedName name="_xlnm._FilterDatabase" localSheetId="6" hidden="1">'Container Interfaces'!$A$1:$C$642</definedName>
    <definedName name="_xlnm._FilterDatabase" localSheetId="4" hidden="1">Containers!$A$1:$D$290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Systems'!$A$1:$B$280</definedName>
    <definedName name="CONTAINER">Containers!$D$2:$D$289</definedName>
    <definedName name="CONTAINER_INTERFACE">'Container Interfaces'!$C$2:$C$641</definedName>
    <definedName name="CONTAINER_TYPE">'Container Types'!$B$2:$B$31</definedName>
    <definedName name="SOFTWARE_SYSTEM">'Software Systems'!$C$2:$C$279</definedName>
    <definedName name="SOFTWARE_SYSTEM_INTERFACE">'Software System Interfaces'!$C$2:$C$287</definedName>
    <definedName name="USER">Actors!$C$21:$C$49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E13" i="6"/>
  <c r="C35" i="5"/>
  <c r="C34" i="5"/>
  <c r="C33" i="5"/>
  <c r="C37" i="5"/>
  <c r="C38" i="5"/>
  <c r="C31" i="5"/>
  <c r="C30" i="5"/>
  <c r="C36" i="5"/>
  <c r="C28" i="5"/>
  <c r="C27" i="5"/>
  <c r="C29" i="5"/>
  <c r="C32" i="5"/>
  <c r="C7" i="5"/>
  <c r="C8" i="5"/>
  <c r="C18" i="5"/>
  <c r="C19" i="5"/>
  <c r="C9" i="5"/>
  <c r="C25" i="5"/>
  <c r="C26" i="5"/>
  <c r="C11" i="5"/>
  <c r="C12" i="5"/>
  <c r="C13" i="5"/>
  <c r="C14" i="5"/>
  <c r="C20" i="5"/>
  <c r="C21" i="5"/>
  <c r="C22" i="5"/>
  <c r="C2" i="5"/>
  <c r="C3" i="5"/>
  <c r="C4" i="5"/>
  <c r="C6" i="5"/>
  <c r="C10" i="5"/>
  <c r="C5" i="5"/>
  <c r="C40" i="5"/>
  <c r="C41" i="5"/>
  <c r="C23" i="5"/>
  <c r="C42" i="5"/>
  <c r="C24" i="5"/>
  <c r="C17" i="5"/>
  <c r="C15" i="5"/>
  <c r="C16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39" i="5"/>
  <c r="B2" i="15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2" i="7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B2" i="13"/>
  <c r="B3" i="13"/>
  <c r="B4" i="13"/>
  <c r="B5" i="13"/>
  <c r="B6" i="13"/>
  <c r="B7" i="13"/>
  <c r="E64" i="6"/>
  <c r="E98" i="6"/>
  <c r="E97" i="6"/>
  <c r="E96" i="6"/>
  <c r="E95" i="6"/>
  <c r="E86" i="6"/>
  <c r="E85" i="6"/>
  <c r="E84" i="6"/>
  <c r="E83" i="6"/>
  <c r="E82" i="6"/>
  <c r="E126" i="6"/>
  <c r="E125" i="6"/>
  <c r="E124" i="6"/>
  <c r="E123" i="6"/>
  <c r="E122" i="6"/>
  <c r="E121" i="6"/>
  <c r="E60" i="6"/>
  <c r="E59" i="6"/>
  <c r="E58" i="6"/>
  <c r="E57" i="6"/>
  <c r="E56" i="6"/>
  <c r="E91" i="6"/>
  <c r="E90" i="6"/>
  <c r="E89" i="6"/>
  <c r="E88" i="6"/>
  <c r="E87" i="6"/>
  <c r="E109" i="6"/>
  <c r="E108" i="6"/>
  <c r="E107" i="6"/>
  <c r="E120" i="6"/>
  <c r="E119" i="6"/>
  <c r="E118" i="6"/>
  <c r="E117" i="6"/>
  <c r="E116" i="6"/>
  <c r="E115" i="6"/>
  <c r="E114" i="6"/>
  <c r="E113" i="6"/>
  <c r="E112" i="6"/>
  <c r="E111" i="6"/>
  <c r="E110" i="6"/>
  <c r="E131" i="6"/>
  <c r="E130" i="6"/>
  <c r="E129" i="6"/>
  <c r="E128" i="6"/>
  <c r="E127" i="6"/>
  <c r="E65" i="6"/>
  <c r="E63" i="6"/>
  <c r="E6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94" i="6"/>
  <c r="E93" i="6"/>
  <c r="E92" i="6"/>
  <c r="E106" i="6"/>
  <c r="E105" i="6"/>
  <c r="E104" i="6"/>
  <c r="E103" i="6"/>
  <c r="E102" i="6"/>
  <c r="E101" i="6"/>
  <c r="E100" i="6"/>
  <c r="E99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54" i="6"/>
  <c r="E74" i="6"/>
  <c r="E73" i="6"/>
  <c r="E55" i="6"/>
  <c r="E70" i="6"/>
  <c r="E69" i="6"/>
  <c r="E68" i="6"/>
  <c r="E67" i="6"/>
  <c r="E66" i="6"/>
  <c r="E296" i="6"/>
  <c r="E401" i="6"/>
  <c r="E297" i="6"/>
  <c r="E402" i="6"/>
  <c r="E400" i="6"/>
  <c r="E152" i="6"/>
  <c r="E151" i="6"/>
  <c r="E399" i="6"/>
  <c r="E157" i="6"/>
  <c r="E156" i="6"/>
  <c r="E155" i="6"/>
  <c r="E154" i="6"/>
  <c r="E153" i="6"/>
  <c r="E398" i="6"/>
  <c r="E403" i="6"/>
  <c r="E299" i="6"/>
  <c r="E300" i="6"/>
  <c r="E80" i="6"/>
  <c r="E79" i="6"/>
  <c r="E72" i="6"/>
  <c r="E71" i="6"/>
  <c r="E53" i="6"/>
  <c r="E81" i="6"/>
  <c r="E78" i="6"/>
  <c r="E77" i="6"/>
  <c r="E76" i="6"/>
  <c r="E75" i="6"/>
  <c r="E488" i="6"/>
  <c r="E487" i="6"/>
  <c r="E486" i="6"/>
  <c r="E485" i="6"/>
  <c r="E484" i="6"/>
  <c r="E61" i="6"/>
  <c r="E52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25" i="6"/>
  <c r="E26" i="6"/>
  <c r="E11" i="6"/>
  <c r="E12" i="6"/>
  <c r="E23" i="6"/>
  <c r="E9" i="6"/>
  <c r="E10" i="6"/>
  <c r="E3" i="6"/>
  <c r="E4" i="6"/>
  <c r="E5" i="6"/>
  <c r="E6" i="6"/>
  <c r="E7" i="6"/>
  <c r="E8" i="6"/>
  <c r="E18" i="6"/>
  <c r="E19" i="6"/>
  <c r="E20" i="6"/>
  <c r="E27" i="6"/>
  <c r="E29" i="6"/>
  <c r="E28" i="6"/>
  <c r="E14" i="6"/>
  <c r="E24" i="6"/>
  <c r="E17" i="6"/>
  <c r="E31" i="6"/>
  <c r="E21" i="6"/>
  <c r="E22" i="6"/>
  <c r="E2" i="6"/>
  <c r="E16" i="6"/>
  <c r="E30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132" i="6"/>
  <c r="E133" i="6"/>
  <c r="E138" i="6"/>
  <c r="E139" i="6"/>
  <c r="E140" i="6"/>
  <c r="E141" i="6"/>
  <c r="E142" i="6"/>
  <c r="E143" i="6"/>
  <c r="E144" i="6"/>
  <c r="E145" i="6"/>
  <c r="E146" i="6"/>
  <c r="E147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290" i="6"/>
  <c r="E261" i="6"/>
  <c r="E262" i="6"/>
  <c r="E263" i="6"/>
  <c r="E264" i="6"/>
  <c r="E265" i="6"/>
  <c r="E266" i="6"/>
  <c r="E267" i="6"/>
  <c r="E268" i="6"/>
  <c r="E269" i="6"/>
  <c r="E270" i="6"/>
  <c r="E272" i="6"/>
  <c r="E274" i="6"/>
  <c r="E275" i="6"/>
  <c r="E276" i="6"/>
  <c r="E277" i="6"/>
  <c r="E279" i="6"/>
  <c r="E280" i="6"/>
  <c r="E281" i="6"/>
  <c r="E282" i="6"/>
  <c r="E283" i="6"/>
  <c r="E284" i="6"/>
  <c r="E278" i="6"/>
  <c r="E285" i="6"/>
  <c r="E286" i="6"/>
  <c r="E287" i="6"/>
  <c r="E288" i="6"/>
  <c r="E289" i="6"/>
  <c r="E291" i="6"/>
  <c r="E292" i="6"/>
  <c r="E293" i="6"/>
  <c r="E294" i="6"/>
  <c r="E295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404" i="6"/>
  <c r="E405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137" i="6"/>
  <c r="E199" i="6"/>
  <c r="E148" i="6"/>
  <c r="E134" i="6"/>
  <c r="E222" i="6"/>
  <c r="E159" i="6"/>
  <c r="E211" i="6"/>
  <c r="E150" i="6"/>
  <c r="E136" i="6"/>
  <c r="E212" i="6"/>
  <c r="E271" i="6"/>
  <c r="E198" i="6"/>
  <c r="E149" i="6"/>
  <c r="E135" i="6"/>
  <c r="E204" i="6"/>
  <c r="E234" i="6"/>
  <c r="E201" i="6"/>
  <c r="E235" i="6"/>
  <c r="E233" i="6"/>
  <c r="E224" i="6"/>
  <c r="E202" i="6"/>
  <c r="E223" i="6"/>
  <c r="E245" i="6"/>
  <c r="E241" i="6"/>
  <c r="E243" i="6"/>
  <c r="E242" i="6"/>
  <c r="E244" i="6"/>
  <c r="E255" i="6"/>
  <c r="E251" i="6"/>
  <c r="E253" i="6"/>
  <c r="E252" i="6"/>
  <c r="E254" i="6"/>
  <c r="E260" i="6"/>
  <c r="E256" i="6"/>
  <c r="E258" i="6"/>
  <c r="E257" i="6"/>
  <c r="E259" i="6"/>
  <c r="E250" i="6"/>
  <c r="E246" i="6"/>
  <c r="E248" i="6"/>
  <c r="E247" i="6"/>
  <c r="E249" i="6"/>
  <c r="E240" i="6"/>
  <c r="E236" i="6"/>
  <c r="E238" i="6"/>
  <c r="E237" i="6"/>
  <c r="E239" i="6"/>
  <c r="E219" i="6"/>
  <c r="E220" i="6"/>
  <c r="E221" i="6"/>
  <c r="E216" i="6"/>
  <c r="E217" i="6"/>
  <c r="E218" i="6"/>
  <c r="E200" i="6"/>
  <c r="E213" i="6"/>
  <c r="E214" i="6"/>
  <c r="E215" i="6"/>
  <c r="E226" i="6"/>
  <c r="E207" i="6"/>
  <c r="E203" i="6"/>
  <c r="E225" i="6"/>
  <c r="E227" i="6"/>
  <c r="E228" i="6"/>
  <c r="E229" i="6"/>
  <c r="E273" i="6"/>
  <c r="E230" i="6"/>
  <c r="E205" i="6"/>
  <c r="E232" i="6"/>
  <c r="E231" i="6"/>
  <c r="E206" i="6"/>
  <c r="E208" i="6"/>
  <c r="E209" i="6"/>
  <c r="E210" i="6"/>
  <c r="E406" i="6"/>
  <c r="E407" i="6"/>
  <c r="E408" i="6"/>
  <c r="E409" i="6"/>
  <c r="E410" i="6"/>
  <c r="E158" i="6"/>
  <c r="E301" i="6"/>
  <c r="E298" i="6"/>
  <c r="E489" i="6"/>
  <c r="E490" i="6"/>
  <c r="E491" i="6"/>
  <c r="E492" i="6"/>
  <c r="E493" i="6"/>
  <c r="E494" i="6"/>
  <c r="E495" i="6"/>
  <c r="E496" i="6"/>
  <c r="E2" i="3" l="1"/>
  <c r="E15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<sst xmlns="http://schemas.openxmlformats.org/spreadsheetml/2006/main" count="408" uniqueCount="180">
  <si>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</si>
  <si>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</si>
  <si>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</si>
  <si>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</si>
  <si>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</si>
  <si>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</si>
  <si>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</si>
  <si>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</si>
  <si>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</si>
  <si>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</si>
  <si>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</si>
  <si>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</si>
  <si>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</si>
  <si>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</si>
  <si>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</si>
  <si>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</si>
  <si>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</si>
  <si>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</si>
  <si>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</si>
  <si>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</si>
  <si>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</si>
  <si>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</si>
  <si>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</si>
  <si>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</si>
  <si>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</si>
  <si>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</si>
  <si>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</si>
  <si>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</si>
  <si>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</si>
  <si>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</si>
  <si>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</si>
  <si>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</si>
  <si>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</si>
  <si>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</si>
  <si>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</si>
  <si>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</si>
  <si>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</si>
  <si>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</si>
  <si>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</si>
  <si>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</si>
  <si>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</si>
  <si>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</si>
  <si>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</si>
  <si>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</si>
  <si>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</si>
  <si>
    <t>Description</t>
  </si>
  <si>
    <t>TraderX</t>
  </si>
  <si>
    <t>No</t>
  </si>
  <si>
    <t>Trader</t>
  </si>
  <si>
    <t>Person who manages accounts and executes trades</t>
  </si>
  <si>
    <t>Web Client</t>
  </si>
  <si>
    <t>Browser based web interface for TraderX</t>
  </si>
  <si>
    <t>Web GUI</t>
  </si>
  <si>
    <t>Allows employees to manage accounts and book trades</t>
  </si>
  <si>
    <t>Position Service</t>
  </si>
  <si>
    <t>Server process which processes trading activity and updates positions</t>
  </si>
  <si>
    <t>TraderX DB</t>
  </si>
  <si>
    <t>Reference Data Service</t>
  </si>
  <si>
    <t>Trading Services</t>
  </si>
  <si>
    <t>Service which provides trading services</t>
  </si>
  <si>
    <t>Service which provides reference data</t>
  </si>
  <si>
    <t>Trade Feed</t>
  </si>
  <si>
    <t>Message bus for streaming updates to trades and positions</t>
  </si>
  <si>
    <t>Database which stores account, trade and position state</t>
  </si>
  <si>
    <t>Trade Processor</t>
  </si>
  <si>
    <t>Process incoming trade requests, settle and persist</t>
  </si>
  <si>
    <t>Accounts Service</t>
  </si>
  <si>
    <t>Service which provides account management</t>
  </si>
  <si>
    <t>People Service</t>
  </si>
  <si>
    <t>Service which provides user details management</t>
  </si>
  <si>
    <t>User Directory</t>
  </si>
  <si>
    <t>Execute Trades</t>
  </si>
  <si>
    <t>Manage Accounts</t>
  </si>
  <si>
    <t>View Trade Status / Positions</t>
  </si>
  <si>
    <t>Load Positions For Account</t>
  </si>
  <si>
    <t>Load Trades For Account</t>
  </si>
  <si>
    <t>Get Positions For Account</t>
  </si>
  <si>
    <t>Get Trades For Account</t>
  </si>
  <si>
    <t>Select Default Positions For Account</t>
  </si>
  <si>
    <t>Select All Trades For Account</t>
  </si>
  <si>
    <t>Create Trade</t>
  </si>
  <si>
    <t>Cancel Trade</t>
  </si>
  <si>
    <t>Send Updates To Trades</t>
  </si>
  <si>
    <t>Send Updates To Positions</t>
  </si>
  <si>
    <t>Receive Updates To Trades</t>
  </si>
  <si>
    <t>Receive Updates To Positions</t>
  </si>
  <si>
    <t>Select Current Positions</t>
  </si>
  <si>
    <t>Save Trade State</t>
  </si>
  <si>
    <t>Save Position State</t>
  </si>
  <si>
    <t>Get Accounts</t>
  </si>
  <si>
    <t>Create Account</t>
  </si>
  <si>
    <t>Update Account</t>
  </si>
  <si>
    <t>Get People Data</t>
  </si>
  <si>
    <t>Select People Data</t>
  </si>
  <si>
    <t>Validate Securities</t>
  </si>
  <si>
    <t>Validate Accounts</t>
  </si>
  <si>
    <t/>
  </si>
  <si>
    <t>Update Trade Status</t>
  </si>
  <si>
    <t>Send Trade Request</t>
  </si>
  <si>
    <t>Receive Trade Request</t>
  </si>
  <si>
    <t>Insert Trade Request</t>
  </si>
  <si>
    <t>View Account</t>
  </si>
  <si>
    <t>Load Account</t>
  </si>
  <si>
    <t>View Trade Status And Positions</t>
  </si>
  <si>
    <t>UserDirectory</t>
  </si>
  <si>
    <t>UserDirectory.Interfaces.SelectPeopleData</t>
  </si>
  <si>
    <t>ExecuteTrades</t>
  </si>
  <si>
    <t>Create Trade Request</t>
  </si>
  <si>
    <t>Process Trade Request</t>
  </si>
  <si>
    <t>Update Trade And Position Status View</t>
  </si>
  <si>
    <t>Send Trade And Position Status Updates</t>
  </si>
  <si>
    <t>Refresh Web Client</t>
  </si>
  <si>
    <t>ManageAccounts</t>
  </si>
  <si>
    <t>ViewTradeStatusAndPositions</t>
  </si>
  <si>
    <t>Data Classification</t>
  </si>
  <si>
    <t>DataClassification</t>
  </si>
  <si>
    <t>Confidential</t>
  </si>
  <si>
    <t>PII</t>
  </si>
  <si>
    <t>Protocol</t>
  </si>
  <si>
    <t>HTTPS</t>
  </si>
  <si>
    <t>WebSocket</t>
  </si>
  <si>
    <t>SocketIO</t>
  </si>
  <si>
    <t>JDBC</t>
  </si>
  <si>
    <t>LDAP</t>
  </si>
  <si>
    <t>Type Ahead People Search</t>
  </si>
  <si>
    <t>Get Securities</t>
  </si>
  <si>
    <t>TraderX.Containers.AccountsService</t>
  </si>
  <si>
    <t>TraderX.Containers.PeopleService</t>
  </si>
  <si>
    <t>TraderX.Containers.PositionService</t>
  </si>
  <si>
    <t>TraderX.Containers.ReferenceDataService</t>
  </si>
  <si>
    <t>TraderX.Containers.TradeFeed</t>
  </si>
  <si>
    <t>TraderX.Containers.TradeProcessor</t>
  </si>
  <si>
    <t>TraderX.Containers.TraderXDB</t>
  </si>
  <si>
    <t>TraderX.Containers.TradingServices</t>
  </si>
  <si>
    <t>TraderX.Containers.WebClient</t>
  </si>
  <si>
    <t>TraderX.Containers.WebGUI</t>
  </si>
  <si>
    <t>TraderX.Containers.PeopleService.Interfaces.GetPeopleData</t>
  </si>
  <si>
    <t>TraderX.Containers.TradingServices.Interfaces.CancelTrade</t>
  </si>
  <si>
    <t>TraderX.Containers.TradingServices.Interfaces.CreateTrade</t>
  </si>
  <si>
    <t>TraderX.Containers.WebClient.Interfaces.CancelTrade</t>
  </si>
  <si>
    <t>TraderX.Containers.WebClient.Interfaces.CreateAccount</t>
  </si>
  <si>
    <t>TraderX.Containers.WebClient.Interfaces.CreateTrade</t>
  </si>
  <si>
    <t>TraderX.Containers.WebClient.Interfaces.TypeAheadPeopleSearch</t>
  </si>
  <si>
    <t>TraderX.Containers.WebClient.Interfaces.UpdateAccount</t>
  </si>
  <si>
    <t>TraderX.Containers.WebClient.Interfaces.ViewAccount</t>
  </si>
  <si>
    <t>TraderX.Containers.WebClient.Interfaces.ViewTradeStatusAndPositions</t>
  </si>
  <si>
    <t>TraderX.Containers.WebGUI.Interfaces.CancelTrade</t>
  </si>
  <si>
    <t>TraderX.Containers.WebGUI.Interfaces.CreateAccount</t>
  </si>
  <si>
    <t>TraderX.Containers.WebGUI.Interfaces.CreateTrade</t>
  </si>
  <si>
    <t>TraderX.Containers.WebGUI.Interfaces.LoadAccount</t>
  </si>
  <si>
    <t>TraderX.Containers.WebGUI.Interfaces.LoadPositionsForAccount</t>
  </si>
  <si>
    <t>TraderX.Containers.WebGUI.Interfaces.LoadTradesForAccount</t>
  </si>
  <si>
    <t>TraderX.Containers.WebGUI.Interfaces.TypeAheadPeopleSearch</t>
  </si>
  <si>
    <t>TraderX.Containers.WebGUI.Interfaces.UpdateAccount</t>
  </si>
  <si>
    <t>TraderX.Containers.WebClient.Interfaces.SendTradeAndPositionStatusUpdates</t>
  </si>
  <si>
    <t>TraderX.Containers.TradeFeed.Interfaces.ReceiveTradeRequest</t>
  </si>
  <si>
    <t>TraderX.Containers.TraderXDB.Interfaces.SelectCurrentPositions</t>
  </si>
  <si>
    <t>TraderX.Containers.TraderXDB.Interfaces.SaveTradeState</t>
  </si>
  <si>
    <t>TraderX.Containers.TraderXDB.Interfaces.SavePositionState</t>
  </si>
  <si>
    <t>TraderX.Containers.TradeFeed.Interfaces.SendUpdatesToTrades</t>
  </si>
  <si>
    <t>TraderX.Containers.TradeFeed.Interfaces.SendUpdatesToPositions</t>
  </si>
  <si>
    <t>TraderX.Containers.TraderXDB.Interfaces.UpdateTradeStatus</t>
  </si>
  <si>
    <t>TraderX.Containers.TraderXDB.Interfaces.InsertTradeRequest</t>
  </si>
  <si>
    <t>TraderX.Containers.TradeFeed.Interfaces.SendTradeRequest</t>
  </si>
  <si>
    <t>TraderX.Containers.AccountsService.Interfaces.CreateAccount</t>
  </si>
  <si>
    <t>TraderX.Containers.ReferenceDataService.Interfaces.GetSecurities</t>
  </si>
  <si>
    <t>TraderX.Containers.AccountsService.Interfaces.GetAccounts</t>
  </si>
  <si>
    <t>TraderX.Containers.PositionService.Interfaces.GetPositionsForAccount</t>
  </si>
  <si>
    <t>TraderX.Containers.PositionService.Interfaces.GetTradesForAccount</t>
  </si>
  <si>
    <t>TraderX.Containers.AccountsService.Interfaces.UpdateAccount</t>
  </si>
  <si>
    <t>TraderX.Containers.TradeFeed.Interfaces.ReceiveUpdatesToTrades</t>
  </si>
  <si>
    <t>TraderX.Containers.TradeFeed.Interfaces.ReceiveUpdatesToPositions</t>
  </si>
  <si>
    <t>TraderX.Containers.WebClient.Interfaces.UpdateTradeAndPositionStatusView</t>
  </si>
  <si>
    <t>External Process</t>
  </si>
  <si>
    <t>ExternalProcess</t>
  </si>
  <si>
    <t>TraderX.Containers.TradeProcessor.Interfaces.Start</t>
  </si>
  <si>
    <t>Start</t>
  </si>
  <si>
    <t>TraderX.Containers.WebGUI.Interfaces.Start</t>
  </si>
  <si>
    <t>People Search</t>
  </si>
  <si>
    <t>PeopleSearch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</si>
</sst>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0"/>
  <sheetViews>
    <sheetView workbookViewId="0">
      <pane ySplit="1" topLeftCell="A2" activePane="bottomLeft" state="frozen"/>
      <selection pane="bottomLeft" activeCell="A6" sqref="A6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58.33203125" bestFit="1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45</v>
      </c>
    </row>
    <row r="2" spans="1:4" x14ac:dyDescent="0.3">
      <c r="A2" s="3" t="s">
        <v>46</v>
      </c>
      <c r="B2" s="3" t="s">
        <v>47</v>
      </c>
      <c r="C2" s="5" t="str">
        <f t="shared" ref="C2:C59" si="0">IF(A2 &lt;&gt; "", SUBSTITUTE(SUBSTITUTE(SUBSTITUTE(SUBSTITUTE(SUBSTITUTE(A2,")",""),"(",""),"&amp;","And"),"-","")," ",""), "")</f>
        <v>TraderX</v>
      </c>
      <c r="D2" s="3" t="s">
        <v>46</v>
      </c>
    </row>
    <row r="3" spans="1:4" x14ac:dyDescent="0.3">
      <c r="A3" s="3" t="s">
        <v>70</v>
      </c>
      <c r="B3" s="3" t="s">
        <v>47</v>
      </c>
      <c r="C3" s="5" t="str">
        <f t="shared" si="0"/>
        <v>UserDirectory</v>
      </c>
      <c r="D3" s="3"/>
    </row>
    <row r="4" spans="1:4" x14ac:dyDescent="0.3">
      <c r="A4" s="3"/>
      <c r="B4" s="3"/>
      <c r="C4" s="5" t="str">
        <f t="shared" si="0"/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ref="C60:C123" si="1">IF(A60 &lt;&gt; "", SUBSTITUTE(SUBSTITUTE(SUBSTITUTE(SUBSTITUTE(SUBSTITUTE(A60,")",""),"(",""),"&amp;","And"),"-","")," ",""), "")</f>
        <v/>
      </c>
      <c r="D60" s="3"/>
    </row>
    <row r="61" spans="1:4" x14ac:dyDescent="0.3">
      <c r="A61" s="3"/>
      <c r="B61" s="3"/>
      <c r="C61" s="5" t="str">
        <f t="shared" si="1"/>
        <v/>
      </c>
      <c r="D61" s="3"/>
    </row>
    <row r="62" spans="1:4" x14ac:dyDescent="0.3">
      <c r="A62" s="3"/>
      <c r="B62" s="3"/>
      <c r="C62" s="5" t="str">
        <f t="shared" si="1"/>
        <v/>
      </c>
      <c r="D62" s="3"/>
    </row>
    <row r="63" spans="1:4" x14ac:dyDescent="0.3">
      <c r="A63" s="3"/>
      <c r="B63" s="3"/>
      <c r="C63" s="5" t="str">
        <f t="shared" si="1"/>
        <v/>
      </c>
      <c r="D63" s="3"/>
    </row>
    <row r="64" spans="1:4" x14ac:dyDescent="0.3">
      <c r="A64" s="3"/>
      <c r="B64" s="3"/>
      <c r="C64" s="5" t="str">
        <f t="shared" si="1"/>
        <v/>
      </c>
      <c r="D64" s="3"/>
    </row>
    <row r="65" spans="1:4" x14ac:dyDescent="0.3">
      <c r="A65" s="3"/>
      <c r="B65" s="3"/>
      <c r="C65" s="5" t="str">
        <f t="shared" si="1"/>
        <v/>
      </c>
      <c r="D65" s="3"/>
    </row>
    <row r="66" spans="1:4" x14ac:dyDescent="0.3">
      <c r="A66" s="3"/>
      <c r="B66" s="3"/>
      <c r="C66" s="5" t="str">
        <f t="shared" si="1"/>
        <v/>
      </c>
      <c r="D66" s="3"/>
    </row>
    <row r="67" spans="1:4" x14ac:dyDescent="0.3">
      <c r="A67" s="3"/>
      <c r="B67" s="3"/>
      <c r="C67" s="5" t="str">
        <f t="shared" si="1"/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ref="C124:C187" si="2">IF(A124 &lt;&gt; "", SUBSTITUTE(SUBSTITUTE(SUBSTITUTE(SUBSTITUTE(SUBSTITUTE(A124,")",""),"(",""),"&amp;","And"),"-","")," ",""), "")</f>
        <v/>
      </c>
      <c r="D124" s="3"/>
    </row>
    <row r="125" spans="1:4" x14ac:dyDescent="0.3">
      <c r="A125" s="3"/>
      <c r="B125" s="3"/>
      <c r="C125" s="5" t="str">
        <f t="shared" si="2"/>
        <v/>
      </c>
      <c r="D125" s="3"/>
    </row>
    <row r="126" spans="1:4" x14ac:dyDescent="0.3">
      <c r="A126" s="3"/>
      <c r="B126" s="3"/>
      <c r="C126" s="5" t="str">
        <f t="shared" si="2"/>
        <v/>
      </c>
      <c r="D126" s="3"/>
    </row>
    <row r="127" spans="1:4" x14ac:dyDescent="0.3">
      <c r="A127" s="3"/>
      <c r="B127" s="3"/>
      <c r="C127" s="5" t="str">
        <f t="shared" si="2"/>
        <v/>
      </c>
      <c r="D127" s="3"/>
    </row>
    <row r="128" spans="1:4" x14ac:dyDescent="0.3">
      <c r="A128" s="3"/>
      <c r="B128" s="3"/>
      <c r="C128" s="5" t="str">
        <f t="shared" si="2"/>
        <v/>
      </c>
      <c r="D128" s="3"/>
    </row>
    <row r="129" spans="1:4" x14ac:dyDescent="0.3">
      <c r="A129" s="3"/>
      <c r="B129" s="3"/>
      <c r="C129" s="5" t="str">
        <f t="shared" si="2"/>
        <v/>
      </c>
      <c r="D129" s="3"/>
    </row>
    <row r="130" spans="1:4" x14ac:dyDescent="0.3">
      <c r="A130" s="3"/>
      <c r="B130" s="3"/>
      <c r="C130" s="5" t="str">
        <f t="shared" si="2"/>
        <v/>
      </c>
      <c r="D130" s="3"/>
    </row>
    <row r="131" spans="1:4" x14ac:dyDescent="0.3">
      <c r="A131" s="3"/>
      <c r="B131" s="3"/>
      <c r="C131" s="5" t="str">
        <f t="shared" si="2"/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ref="C188:C251" si="3">IF(A188 &lt;&gt; "", SUBSTITUTE(SUBSTITUTE(SUBSTITUTE(SUBSTITUTE(SUBSTITUTE(A188,")",""),"(",""),"&amp;","And"),"-","")," ",""), "")</f>
        <v/>
      </c>
      <c r="D188" s="3"/>
    </row>
    <row r="189" spans="1:4" x14ac:dyDescent="0.3">
      <c r="A189" s="3"/>
      <c r="B189" s="3"/>
      <c r="C189" s="5" t="str">
        <f t="shared" si="3"/>
        <v/>
      </c>
      <c r="D189" s="3"/>
    </row>
    <row r="190" spans="1:4" x14ac:dyDescent="0.3">
      <c r="A190" s="3"/>
      <c r="B190" s="3"/>
      <c r="C190" s="5" t="str">
        <f t="shared" si="3"/>
        <v/>
      </c>
      <c r="D190" s="3"/>
    </row>
    <row r="191" spans="1:4" x14ac:dyDescent="0.3">
      <c r="A191" s="3"/>
      <c r="B191" s="3"/>
      <c r="C191" s="5" t="str">
        <f t="shared" si="3"/>
        <v/>
      </c>
      <c r="D191" s="3"/>
    </row>
    <row r="192" spans="1:4" x14ac:dyDescent="0.3">
      <c r="A192" s="3"/>
      <c r="B192" s="3"/>
      <c r="C192" s="5" t="str">
        <f t="shared" si="3"/>
        <v/>
      </c>
      <c r="D192" s="3"/>
    </row>
    <row r="193" spans="1:4" x14ac:dyDescent="0.3">
      <c r="A193" s="3"/>
      <c r="B193" s="3"/>
      <c r="C193" s="5" t="str">
        <f t="shared" si="3"/>
        <v/>
      </c>
      <c r="D193" s="3"/>
    </row>
    <row r="194" spans="1:4" x14ac:dyDescent="0.3">
      <c r="A194" s="3"/>
      <c r="B194" s="3"/>
      <c r="C194" s="5" t="str">
        <f t="shared" si="3"/>
        <v/>
      </c>
      <c r="D194" s="3"/>
    </row>
    <row r="195" spans="1:4" x14ac:dyDescent="0.3">
      <c r="A195" s="3"/>
      <c r="B195" s="3"/>
      <c r="C195" s="5" t="str">
        <f t="shared" si="3"/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ref="C252:C280" si="4">IF(A252 &lt;&gt; "", SUBSTITUTE(SUBSTITUTE(SUBSTITUTE(SUBSTITUTE(SUBSTITUTE(A252,")",""),"(",""),"&amp;","And"),"-","")," ",""), "")</f>
        <v/>
      </c>
      <c r="D252" s="3"/>
    </row>
    <row r="253" spans="1:4" x14ac:dyDescent="0.3">
      <c r="A253" s="3"/>
      <c r="B253" s="3"/>
      <c r="C253" s="5" t="str">
        <f t="shared" si="4"/>
        <v/>
      </c>
      <c r="D253" s="3"/>
    </row>
    <row r="254" spans="1:4" x14ac:dyDescent="0.3">
      <c r="A254" s="3"/>
      <c r="B254" s="3"/>
      <c r="C254" s="5" t="str">
        <f t="shared" si="4"/>
        <v/>
      </c>
      <c r="D254" s="3"/>
    </row>
    <row r="255" spans="1:4" x14ac:dyDescent="0.3">
      <c r="A255" s="3"/>
      <c r="B255" s="3"/>
      <c r="C255" s="5" t="str">
        <f t="shared" si="4"/>
        <v/>
      </c>
      <c r="D255" s="3"/>
    </row>
    <row r="256" spans="1:4" x14ac:dyDescent="0.3">
      <c r="A256" s="3"/>
      <c r="B256" s="3"/>
      <c r="C256" s="5" t="str">
        <f t="shared" si="4"/>
        <v/>
      </c>
      <c r="D256" s="3"/>
    </row>
    <row r="257" spans="1:4" x14ac:dyDescent="0.3">
      <c r="A257" s="3"/>
      <c r="B257" s="3"/>
      <c r="C257" s="5" t="str">
        <f t="shared" si="4"/>
        <v/>
      </c>
      <c r="D257" s="3"/>
    </row>
    <row r="258" spans="1:4" x14ac:dyDescent="0.3">
      <c r="A258" s="3"/>
      <c r="B258" s="3"/>
      <c r="C258" s="5" t="str">
        <f t="shared" si="4"/>
        <v/>
      </c>
      <c r="D258" s="3"/>
    </row>
    <row r="259" spans="1:4" x14ac:dyDescent="0.3">
      <c r="A259" s="3"/>
      <c r="B259" s="3"/>
      <c r="C259" s="5" t="str">
        <f t="shared" si="4"/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</sheetData>
  <autoFilter ref="A1:B280" xr:uid="{728F2733-2424-4E04-ADDF-BE095859E6FF}"/>
  <sortState xmlns:xlrd2="http://schemas.microsoft.com/office/spreadsheetml/2017/richdata2" ref="A2:C280">
    <sortCondition ref="A52:A280"/>
  </sortState>
  <conditionalFormatting sqref="C2:C280">
    <cfRule type="containsBlanks" priority="61" stopIfTrue="1">
      <formula>LEN(TRIM(C2))=0</formula>
    </cfRule>
    <cfRule type="duplicateValues" dxfId="7" priority="6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workbookViewId="0">
      <selection activeCell="I16" sqref="I16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18.5546875" customWidth="1"/>
  </cols>
  <sheetData>
    <row r="1" spans="1:3" x14ac:dyDescent="0.3">
      <c r="A1" s="7" t="s">
        <v>34</v>
      </c>
      <c r="B1" s="7" t="s">
        <v>43</v>
      </c>
      <c r="C1" s="2" t="s">
        <v>44</v>
      </c>
    </row>
    <row r="2" spans="1:3" x14ac:dyDescent="0.3">
      <c r="A2" s="8" t="s">
        <v>104</v>
      </c>
      <c r="B2" s="8" t="s">
        <v>115</v>
      </c>
      <c r="C2" s="3" t="s">
        <v>117</v>
      </c>
    </row>
    <row r="3" spans="1:3" x14ac:dyDescent="0.3">
      <c r="A3" s="8"/>
      <c r="B3" s="8"/>
      <c r="C3" s="3"/>
    </row>
    <row r="4" spans="1:3" x14ac:dyDescent="0.3">
      <c r="A4" s="8"/>
      <c r="B4" s="8"/>
      <c r="C4" s="3"/>
    </row>
    <row r="5" spans="1:3" x14ac:dyDescent="0.3">
      <c r="A5" s="8"/>
      <c r="B5" s="8"/>
      <c r="C5" s="3"/>
    </row>
    <row r="6" spans="1:3" x14ac:dyDescent="0.3">
      <c r="A6" s="8"/>
      <c r="B6" s="8"/>
      <c r="C6" s="3"/>
    </row>
    <row r="7" spans="1:3" x14ac:dyDescent="0.3">
      <c r="A7" s="8"/>
      <c r="B7" s="8"/>
      <c r="C7" s="3"/>
    </row>
    <row r="8" spans="1:3" x14ac:dyDescent="0.3">
      <c r="A8" s="8"/>
      <c r="B8" s="8"/>
      <c r="C8" s="3"/>
    </row>
    <row r="9" spans="1:3" x14ac:dyDescent="0.3">
      <c r="A9" s="8"/>
      <c r="B9" s="8"/>
      <c r="C9" s="3"/>
    </row>
    <row r="10" spans="1:3" x14ac:dyDescent="0.3">
      <c r="A10" s="8"/>
      <c r="B10" s="8"/>
      <c r="C10" s="3"/>
    </row>
    <row r="11" spans="1:3" x14ac:dyDescent="0.3">
      <c r="A11" s="8"/>
      <c r="B11" s="8"/>
      <c r="C11" s="3"/>
    </row>
    <row r="12" spans="1:3" x14ac:dyDescent="0.3">
      <c r="A12" s="8"/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  <x14:dataValidation type="list" allowBlank="1" showInputMessage="1" showErrorMessage="1" xr:uid="{BD613164-B828-4AF4-8343-05AA4873229E}">
          <x14:formula1>
            <xm:f>'Software Systems'!$C$2:$C$280</xm:f>
          </x14:formula1>
          <xm:sqref>A2:A101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tabSelected="1" workbookViewId="0">
      <pane ySplit="1" topLeftCell="A2" activePane="bottomLeft" state="frozen"/>
      <selection pane="bottomLeft" activeCell="C9" sqref="C9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17.109375" customWidth="1"/>
    <col min="5" max="5" width="12.2187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45</v>
      </c>
      <c r="E1" s="2" t="s">
        <v>118</v>
      </c>
    </row>
    <row r="2" spans="1:5" x14ac:dyDescent="0.3">
      <c r="A2" s="3" t="s">
        <v>104</v>
      </c>
      <c r="B2" s="3" t="s">
        <v>93</v>
      </c>
      <c r="C2" s="5" t="str">
        <f>IF(AND(A2 &lt;&gt; "", B2 &lt;&gt; ""), _xlfn.CONCAT(A2, ".Interfaces.", SUBSTITUTE(SUBSTITUTE(SUBSTITUTE(SUBSTITUTE(SUBSTITUTE(B2,")",""),"(",""),"&amp;","And"),"-","")," ","")), "")</f>
        <v>UserDirectory.Interfaces.SelectPeopleData</v>
      </c>
      <c r="D2" s="3"/>
      <c r="E2" s="3" t="s">
        <v>123</v>
      </c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 t="s">
        <v>123</v>
      </c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Systems'!$C$2:$C$280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Interfaces'!$C$2:$C$642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E292"/>
  <sheetViews>
    <sheetView workbookViewId="0">
      <pane ySplit="1" topLeftCell="A2" activePane="bottomLeft" state="frozen"/>
      <selection pane="bottomLeft" activeCell="B16" sqref="B16"/>
    </sheetView>
  </sheetViews>
  <sheetFormatPr defaultColWidth="8.6640625" defaultRowHeight="14.4" x14ac:dyDescent="0.3"/>
  <cols>
    <col min="1" max="1" width="19.21875" customWidth="1"/>
    <col min="2" max="3" width="26.6640625" customWidth="1"/>
    <col min="4" max="4" width="50.44140625" bestFit="1" customWidth="1"/>
    <col min="5" max="5" width="56.88671875" customWidth="1"/>
  </cols>
  <sheetData>
    <row r="1" spans="1:5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45</v>
      </c>
    </row>
    <row r="2" spans="1:5" x14ac:dyDescent="0.3">
      <c r="A2" s="3" t="s">
        <v>46</v>
      </c>
      <c r="B2" s="3" t="s">
        <v>56</v>
      </c>
      <c r="C2" s="3" t="s">
        <v>7</v>
      </c>
      <c r="D2" s="5" t="str">
        <f>IF(AND(A2 &lt;&gt; "", B2 &lt;&gt; ""), _xlfn.CONCAT(A2, ".Containers.", SUBSTITUTE(SUBSTITUTE(SUBSTITUTE(SUBSTITUTE(SUBSTITUTE(B2,")",""),"(",""),"&amp;","And"),"-","")," ","")), "")</f>
        <v>TraderX.Containers.TraderXDB</v>
      </c>
      <c r="E2" s="3" t="s">
        <v>63</v>
      </c>
    </row>
    <row r="3" spans="1:5" x14ac:dyDescent="0.3">
      <c r="A3" s="3" t="s">
        <v>46</v>
      </c>
      <c r="B3" s="3" t="s">
        <v>61</v>
      </c>
      <c r="C3" s="3" t="s">
        <v>9</v>
      </c>
      <c r="D3" s="5" t="str">
        <f t="shared" ref="D3:D65" si="0">IF(AND(A3 &lt;&gt; "", B3 &lt;&gt; ""), _xlfn.CONCAT(A3, ".Containers.", SUBSTITUTE(SUBSTITUTE(SUBSTITUTE(SUBSTITUTE(SUBSTITUTE(B3,")",""),"(",""),"&amp;","And"),"-","")," ","")), "")</f>
        <v>TraderX.Containers.TradeFeed</v>
      </c>
      <c r="E3" s="3" t="s">
        <v>62</v>
      </c>
    </row>
    <row r="4" spans="1:5" x14ac:dyDescent="0.3">
      <c r="A4" s="3" t="s">
        <v>46</v>
      </c>
      <c r="B4" s="3" t="s">
        <v>64</v>
      </c>
      <c r="C4" s="3" t="s">
        <v>8</v>
      </c>
      <c r="D4" s="5" t="str">
        <f t="shared" si="0"/>
        <v>TraderX.Containers.TradeProcessor</v>
      </c>
      <c r="E4" s="3" t="s">
        <v>65</v>
      </c>
    </row>
    <row r="5" spans="1:5" x14ac:dyDescent="0.3">
      <c r="A5" s="3" t="s">
        <v>46</v>
      </c>
      <c r="B5" s="3" t="s">
        <v>50</v>
      </c>
      <c r="C5" s="3" t="s">
        <v>29</v>
      </c>
      <c r="D5" s="5" t="str">
        <f t="shared" si="0"/>
        <v>TraderX.Containers.WebClient</v>
      </c>
      <c r="E5" s="3" t="s">
        <v>51</v>
      </c>
    </row>
    <row r="6" spans="1:5" x14ac:dyDescent="0.3">
      <c r="A6" s="3" t="s">
        <v>46</v>
      </c>
      <c r="B6" s="3" t="s">
        <v>52</v>
      </c>
      <c r="C6" s="3" t="s">
        <v>11</v>
      </c>
      <c r="D6" s="5" t="str">
        <f t="shared" si="0"/>
        <v>TraderX.Containers.WebGUI</v>
      </c>
      <c r="E6" s="3" t="s">
        <v>53</v>
      </c>
    </row>
    <row r="7" spans="1:5" x14ac:dyDescent="0.3">
      <c r="A7" s="3" t="s">
        <v>46</v>
      </c>
      <c r="B7" s="3" t="s">
        <v>54</v>
      </c>
      <c r="C7" s="3" t="s">
        <v>6</v>
      </c>
      <c r="D7" s="5" t="str">
        <f t="shared" si="0"/>
        <v>TraderX.Containers.PositionService</v>
      </c>
      <c r="E7" s="3" t="s">
        <v>55</v>
      </c>
    </row>
    <row r="8" spans="1:5" x14ac:dyDescent="0.3">
      <c r="A8" s="3" t="s">
        <v>46</v>
      </c>
      <c r="B8" s="3" t="s">
        <v>57</v>
      </c>
      <c r="C8" s="3" t="s">
        <v>6</v>
      </c>
      <c r="D8" s="5" t="str">
        <f t="shared" si="0"/>
        <v>TraderX.Containers.ReferenceDataService</v>
      </c>
      <c r="E8" s="3" t="s">
        <v>60</v>
      </c>
    </row>
    <row r="9" spans="1:5" x14ac:dyDescent="0.3">
      <c r="A9" s="3" t="s">
        <v>46</v>
      </c>
      <c r="B9" s="3" t="s">
        <v>58</v>
      </c>
      <c r="C9" s="3" t="s">
        <v>6</v>
      </c>
      <c r="D9" s="5" t="str">
        <f t="shared" si="0"/>
        <v>TraderX.Containers.TradingServices</v>
      </c>
      <c r="E9" s="3" t="s">
        <v>59</v>
      </c>
    </row>
    <row r="10" spans="1:5" x14ac:dyDescent="0.3">
      <c r="A10" s="3" t="s">
        <v>46</v>
      </c>
      <c r="B10" s="3" t="s">
        <v>66</v>
      </c>
      <c r="C10" s="3" t="s">
        <v>6</v>
      </c>
      <c r="D10" s="5" t="str">
        <f t="shared" si="0"/>
        <v>TraderX.Containers.AccountsService</v>
      </c>
      <c r="E10" s="3" t="s">
        <v>67</v>
      </c>
    </row>
    <row r="11" spans="1:5" x14ac:dyDescent="0.3">
      <c r="A11" s="3" t="s">
        <v>46</v>
      </c>
      <c r="B11" s="3" t="s">
        <v>68</v>
      </c>
      <c r="C11" s="3" t="s">
        <v>6</v>
      </c>
      <c r="D11" s="5" t="str">
        <f t="shared" si="0"/>
        <v>TraderX.Containers.PeopleService</v>
      </c>
      <c r="E11" s="3" t="s">
        <v>69</v>
      </c>
    </row>
    <row r="12" spans="1:5" x14ac:dyDescent="0.3">
      <c r="A12" s="3"/>
      <c r="B12" s="3"/>
      <c r="C12" s="3"/>
      <c r="D12" s="5" t="str">
        <f t="shared" si="0"/>
        <v/>
      </c>
      <c r="E12" s="3"/>
    </row>
    <row r="13" spans="1:5" x14ac:dyDescent="0.3">
      <c r="A13" s="3"/>
      <c r="B13" s="3"/>
      <c r="C13" s="3"/>
      <c r="D13" s="5" t="str">
        <f t="shared" si="0"/>
        <v/>
      </c>
      <c r="E13" s="3"/>
    </row>
    <row r="14" spans="1:5" x14ac:dyDescent="0.3">
      <c r="A14" s="3"/>
      <c r="B14" s="3"/>
      <c r="C14" s="3"/>
      <c r="D14" s="5" t="str">
        <f t="shared" si="0"/>
        <v/>
      </c>
      <c r="E14" s="3"/>
    </row>
    <row r="15" spans="1:5" x14ac:dyDescent="0.3">
      <c r="A15" s="3"/>
      <c r="B15" s="3"/>
      <c r="C15" s="3"/>
      <c r="D15" s="5" t="str">
        <f t="shared" si="0"/>
        <v/>
      </c>
      <c r="E15" s="3"/>
    </row>
    <row r="16" spans="1:5" x14ac:dyDescent="0.3">
      <c r="A16" s="3"/>
      <c r="B16" s="3"/>
      <c r="C16" s="3"/>
      <c r="D16" s="5" t="str">
        <f t="shared" si="0"/>
        <v/>
      </c>
      <c r="E16" s="3"/>
    </row>
    <row r="17" spans="1:5" x14ac:dyDescent="0.3">
      <c r="A17" s="3"/>
      <c r="B17" s="3"/>
      <c r="C17" s="3"/>
      <c r="D17" s="5" t="str">
        <f t="shared" si="0"/>
        <v/>
      </c>
      <c r="E17" s="3"/>
    </row>
    <row r="18" spans="1:5" x14ac:dyDescent="0.3">
      <c r="A18" s="3"/>
      <c r="B18" s="3"/>
      <c r="C18" s="3"/>
      <c r="D18" s="5" t="str">
        <f t="shared" si="0"/>
        <v/>
      </c>
      <c r="E18" s="3"/>
    </row>
    <row r="19" spans="1:5" x14ac:dyDescent="0.3">
      <c r="A19" s="3"/>
      <c r="B19" s="3"/>
      <c r="C19" s="3"/>
      <c r="D19" s="5" t="str">
        <f t="shared" si="0"/>
        <v/>
      </c>
      <c r="E19" s="3"/>
    </row>
    <row r="20" spans="1:5" x14ac:dyDescent="0.3">
      <c r="A20" s="3"/>
      <c r="B20" s="3"/>
      <c r="C20" s="3"/>
      <c r="D20" s="5" t="str">
        <f t="shared" si="0"/>
        <v/>
      </c>
      <c r="E20" s="3"/>
    </row>
    <row r="21" spans="1:5" x14ac:dyDescent="0.3">
      <c r="A21" s="3"/>
      <c r="B21" s="3"/>
      <c r="C21" s="3"/>
      <c r="D21" s="5" t="str">
        <f t="shared" si="0"/>
        <v/>
      </c>
      <c r="E21" s="3"/>
    </row>
    <row r="22" spans="1:5" x14ac:dyDescent="0.3">
      <c r="A22" s="3"/>
      <c r="B22" s="3"/>
      <c r="C22" s="3"/>
      <c r="D22" s="5" t="str">
        <f t="shared" si="0"/>
        <v/>
      </c>
      <c r="E22" s="3"/>
    </row>
    <row r="23" spans="1:5" x14ac:dyDescent="0.3">
      <c r="A23" s="3"/>
      <c r="B23" s="3"/>
      <c r="C23" s="3"/>
      <c r="D23" s="5" t="str">
        <f t="shared" si="0"/>
        <v/>
      </c>
      <c r="E23" s="3"/>
    </row>
    <row r="24" spans="1:5" x14ac:dyDescent="0.3">
      <c r="A24" s="3"/>
      <c r="B24" s="3"/>
      <c r="C24" s="3"/>
      <c r="D24" s="5" t="str">
        <f t="shared" si="0"/>
        <v/>
      </c>
      <c r="E24" s="3"/>
    </row>
    <row r="25" spans="1:5" x14ac:dyDescent="0.3">
      <c r="A25" s="3"/>
      <c r="B25" s="3"/>
      <c r="C25" s="3"/>
      <c r="D25" s="5" t="str">
        <f t="shared" si="0"/>
        <v/>
      </c>
      <c r="E25" s="3"/>
    </row>
    <row r="26" spans="1:5" x14ac:dyDescent="0.3">
      <c r="A26" s="3"/>
      <c r="B26" s="3"/>
      <c r="C26" s="3"/>
      <c r="D26" s="5" t="str">
        <f t="shared" si="0"/>
        <v/>
      </c>
      <c r="E26" s="3"/>
    </row>
    <row r="27" spans="1:5" x14ac:dyDescent="0.3">
      <c r="A27" s="3"/>
      <c r="B27" s="3"/>
      <c r="C27" s="3"/>
      <c r="D27" s="5" t="str">
        <f t="shared" si="0"/>
        <v/>
      </c>
      <c r="E27" s="3"/>
    </row>
    <row r="28" spans="1:5" x14ac:dyDescent="0.3">
      <c r="A28" s="3"/>
      <c r="B28" s="3"/>
      <c r="C28" s="3"/>
      <c r="D28" s="5" t="str">
        <f t="shared" si="0"/>
        <v/>
      </c>
      <c r="E28" s="3"/>
    </row>
    <row r="29" spans="1:5" x14ac:dyDescent="0.3">
      <c r="A29" s="3"/>
      <c r="B29" s="3"/>
      <c r="C29" s="3"/>
      <c r="D29" s="5" t="str">
        <f t="shared" si="0"/>
        <v/>
      </c>
      <c r="E29" s="3"/>
    </row>
    <row r="30" spans="1:5" x14ac:dyDescent="0.3">
      <c r="A30" s="3"/>
      <c r="B30" s="3"/>
      <c r="C30" s="3"/>
      <c r="D30" s="5" t="str">
        <f t="shared" si="0"/>
        <v/>
      </c>
      <c r="E30" s="3"/>
    </row>
    <row r="31" spans="1:5" x14ac:dyDescent="0.3">
      <c r="A31" s="3"/>
      <c r="B31" s="3"/>
      <c r="C31" s="3"/>
      <c r="D31" s="5" t="str">
        <f t="shared" si="0"/>
        <v/>
      </c>
      <c r="E31" s="3"/>
    </row>
    <row r="32" spans="1:5" x14ac:dyDescent="0.3">
      <c r="A32" s="3"/>
      <c r="B32" s="3"/>
      <c r="C32" s="3"/>
      <c r="D32" s="5" t="str">
        <f t="shared" si="0"/>
        <v/>
      </c>
      <c r="E32" s="3"/>
    </row>
    <row r="33" spans="1:5" x14ac:dyDescent="0.3">
      <c r="A33" s="3"/>
      <c r="B33" s="3"/>
      <c r="C33" s="3"/>
      <c r="D33" s="5" t="str">
        <f t="shared" si="0"/>
        <v/>
      </c>
      <c r="E33" s="3"/>
    </row>
    <row r="34" spans="1:5" x14ac:dyDescent="0.3">
      <c r="A34" s="3"/>
      <c r="B34" s="3"/>
      <c r="C34" s="3"/>
      <c r="D34" s="5" t="str">
        <f t="shared" si="0"/>
        <v/>
      </c>
      <c r="E34" s="3"/>
    </row>
    <row r="35" spans="1:5" x14ac:dyDescent="0.3">
      <c r="A35" s="3"/>
      <c r="B35" s="3"/>
      <c r="C35" s="3"/>
      <c r="D35" s="5" t="str">
        <f t="shared" si="0"/>
        <v/>
      </c>
      <c r="E35" s="3"/>
    </row>
    <row r="36" spans="1:5" x14ac:dyDescent="0.3">
      <c r="A36" s="3"/>
      <c r="B36" s="3"/>
      <c r="C36" s="3"/>
      <c r="D36" s="5" t="str">
        <f t="shared" si="0"/>
        <v/>
      </c>
      <c r="E36" s="3"/>
    </row>
    <row r="37" spans="1:5" x14ac:dyDescent="0.3">
      <c r="A37" s="3"/>
      <c r="B37" s="3"/>
      <c r="C37" s="3"/>
      <c r="D37" s="5" t="str">
        <f t="shared" si="0"/>
        <v/>
      </c>
      <c r="E37" s="3"/>
    </row>
    <row r="38" spans="1:5" x14ac:dyDescent="0.3">
      <c r="A38" s="3"/>
      <c r="B38" s="3"/>
      <c r="C38" s="3"/>
      <c r="D38" s="5" t="str">
        <f t="shared" si="0"/>
        <v/>
      </c>
      <c r="E38" s="3"/>
    </row>
    <row r="39" spans="1:5" x14ac:dyDescent="0.3">
      <c r="A39" s="3"/>
      <c r="B39" s="3"/>
      <c r="C39" s="3"/>
      <c r="D39" s="5" t="str">
        <f t="shared" si="0"/>
        <v/>
      </c>
      <c r="E39" s="3"/>
    </row>
    <row r="40" spans="1:5" x14ac:dyDescent="0.3">
      <c r="A40" s="3"/>
      <c r="B40" s="3"/>
      <c r="C40" s="3"/>
      <c r="D40" s="5" t="str">
        <f t="shared" si="0"/>
        <v/>
      </c>
      <c r="E40" s="3"/>
    </row>
    <row r="41" spans="1:5" x14ac:dyDescent="0.3">
      <c r="A41" s="3"/>
      <c r="B41" s="3"/>
      <c r="C41" s="3"/>
      <c r="D41" s="5" t="str">
        <f t="shared" si="0"/>
        <v/>
      </c>
      <c r="E41" s="3"/>
    </row>
    <row r="42" spans="1:5" x14ac:dyDescent="0.3">
      <c r="A42" s="3"/>
      <c r="B42" s="3"/>
      <c r="C42" s="3"/>
      <c r="D42" s="5" t="str">
        <f t="shared" si="0"/>
        <v/>
      </c>
      <c r="E42" s="3"/>
    </row>
    <row r="43" spans="1:5" x14ac:dyDescent="0.3">
      <c r="A43" s="3"/>
      <c r="B43" s="3"/>
      <c r="C43" s="3"/>
      <c r="D43" s="5" t="str">
        <f t="shared" si="0"/>
        <v/>
      </c>
      <c r="E43" s="3"/>
    </row>
    <row r="44" spans="1:5" x14ac:dyDescent="0.3">
      <c r="A44" s="3"/>
      <c r="B44" s="3"/>
      <c r="C44" s="3"/>
      <c r="D44" s="5" t="str">
        <f t="shared" si="0"/>
        <v/>
      </c>
      <c r="E44" s="3"/>
    </row>
    <row r="45" spans="1:5" x14ac:dyDescent="0.3">
      <c r="A45" s="3"/>
      <c r="B45" s="3"/>
      <c r="C45" s="3"/>
      <c r="D45" s="5" t="str">
        <f t="shared" si="0"/>
        <v/>
      </c>
      <c r="E45" s="3"/>
    </row>
    <row r="46" spans="1:5" x14ac:dyDescent="0.3">
      <c r="A46" s="3"/>
      <c r="B46" s="3"/>
      <c r="C46" s="3"/>
      <c r="D46" s="5" t="str">
        <f t="shared" si="0"/>
        <v/>
      </c>
      <c r="E46" s="3"/>
    </row>
    <row r="47" spans="1:5" x14ac:dyDescent="0.3">
      <c r="A47" s="3"/>
      <c r="B47" s="3"/>
      <c r="C47" s="3"/>
      <c r="D47" s="5" t="str">
        <f t="shared" si="0"/>
        <v/>
      </c>
      <c r="E47" s="3"/>
    </row>
    <row r="48" spans="1:5" x14ac:dyDescent="0.3">
      <c r="A48" s="3"/>
      <c r="B48" s="3"/>
      <c r="C48" s="3"/>
      <c r="D48" s="5" t="str">
        <f t="shared" si="0"/>
        <v/>
      </c>
      <c r="E48" s="3"/>
    </row>
    <row r="49" spans="1:5" x14ac:dyDescent="0.3">
      <c r="A49" s="3"/>
      <c r="B49" s="3"/>
      <c r="C49" s="3"/>
      <c r="D49" s="5" t="str">
        <f t="shared" si="0"/>
        <v/>
      </c>
      <c r="E49" s="3"/>
    </row>
    <row r="50" spans="1:5" x14ac:dyDescent="0.3">
      <c r="A50" s="3"/>
      <c r="B50" s="3"/>
      <c r="C50" s="3"/>
      <c r="D50" s="5" t="str">
        <f t="shared" si="0"/>
        <v/>
      </c>
      <c r="E50" s="3"/>
    </row>
    <row r="51" spans="1:5" x14ac:dyDescent="0.3">
      <c r="A51" s="3"/>
      <c r="B51" s="3"/>
      <c r="C51" s="3"/>
      <c r="D51" s="5" t="str">
        <f t="shared" si="0"/>
        <v/>
      </c>
      <c r="E51" s="3"/>
    </row>
    <row r="52" spans="1:5" x14ac:dyDescent="0.3">
      <c r="A52" s="3"/>
      <c r="B52" s="3"/>
      <c r="C52" s="3"/>
      <c r="D52" s="5" t="str">
        <f t="shared" si="0"/>
        <v/>
      </c>
      <c r="E52" s="3"/>
    </row>
    <row r="53" spans="1:5" x14ac:dyDescent="0.3">
      <c r="A53" s="3"/>
      <c r="B53" s="3"/>
      <c r="C53" s="3"/>
      <c r="D53" s="5" t="str">
        <f t="shared" si="0"/>
        <v/>
      </c>
      <c r="E53" s="3"/>
    </row>
    <row r="54" spans="1:5" x14ac:dyDescent="0.3">
      <c r="A54" s="3"/>
      <c r="B54" s="3"/>
      <c r="C54" s="3"/>
      <c r="D54" s="5" t="str">
        <f t="shared" si="0"/>
        <v/>
      </c>
      <c r="E54" s="3"/>
    </row>
    <row r="55" spans="1:5" x14ac:dyDescent="0.3">
      <c r="A55" s="3"/>
      <c r="B55" s="3"/>
      <c r="C55" s="3"/>
      <c r="D55" s="5" t="str">
        <f t="shared" si="0"/>
        <v/>
      </c>
      <c r="E55" s="3"/>
    </row>
    <row r="56" spans="1:5" x14ac:dyDescent="0.3">
      <c r="A56" s="3"/>
      <c r="B56" s="3"/>
      <c r="C56" s="3"/>
      <c r="D56" s="5" t="str">
        <f t="shared" si="0"/>
        <v/>
      </c>
      <c r="E56" s="3"/>
    </row>
    <row r="57" spans="1:5" x14ac:dyDescent="0.3">
      <c r="A57" s="3"/>
      <c r="B57" s="3"/>
      <c r="C57" s="3"/>
      <c r="D57" s="5" t="str">
        <f t="shared" si="0"/>
        <v/>
      </c>
      <c r="E57" s="3"/>
    </row>
    <row r="58" spans="1:5" x14ac:dyDescent="0.3">
      <c r="A58" s="3"/>
      <c r="B58" s="3"/>
      <c r="C58" s="3"/>
      <c r="D58" s="5" t="str">
        <f t="shared" si="0"/>
        <v/>
      </c>
      <c r="E58" s="3"/>
    </row>
    <row r="59" spans="1:5" x14ac:dyDescent="0.3">
      <c r="A59" s="3"/>
      <c r="B59" s="3"/>
      <c r="C59" s="3"/>
      <c r="D59" s="5" t="str">
        <f t="shared" si="0"/>
        <v/>
      </c>
      <c r="E59" s="3"/>
    </row>
    <row r="60" spans="1:5" x14ac:dyDescent="0.3">
      <c r="A60" s="3"/>
      <c r="B60" s="3"/>
      <c r="C60" s="3"/>
      <c r="D60" s="5" t="str">
        <f t="shared" si="0"/>
        <v/>
      </c>
      <c r="E60" s="3"/>
    </row>
    <row r="61" spans="1:5" x14ac:dyDescent="0.3">
      <c r="A61" s="3"/>
      <c r="B61" s="3"/>
      <c r="C61" s="3"/>
      <c r="D61" s="5" t="str">
        <f t="shared" si="0"/>
        <v/>
      </c>
      <c r="E61" s="3"/>
    </row>
    <row r="62" spans="1:5" x14ac:dyDescent="0.3">
      <c r="A62" s="3"/>
      <c r="B62" s="3"/>
      <c r="C62" s="3"/>
      <c r="D62" s="5" t="str">
        <f t="shared" si="0"/>
        <v/>
      </c>
      <c r="E62" s="3"/>
    </row>
    <row r="63" spans="1:5" x14ac:dyDescent="0.3">
      <c r="A63" s="3"/>
      <c r="B63" s="3"/>
      <c r="C63" s="3"/>
      <c r="D63" s="5" t="str">
        <f t="shared" si="0"/>
        <v/>
      </c>
      <c r="E63" s="3"/>
    </row>
    <row r="64" spans="1:5" x14ac:dyDescent="0.3">
      <c r="A64" s="3"/>
      <c r="B64" s="3"/>
      <c r="C64" s="3"/>
      <c r="D64" s="5" t="str">
        <f t="shared" si="0"/>
        <v/>
      </c>
      <c r="E64" s="3"/>
    </row>
    <row r="65" spans="1:5" x14ac:dyDescent="0.3">
      <c r="A65" s="3"/>
      <c r="B65" s="3"/>
      <c r="C65" s="3"/>
      <c r="D65" s="5" t="str">
        <f t="shared" si="0"/>
        <v/>
      </c>
      <c r="E65" s="3"/>
    </row>
    <row r="66" spans="1:5" x14ac:dyDescent="0.3">
      <c r="A66" s="3"/>
      <c r="B66" s="3"/>
      <c r="C66" s="3"/>
      <c r="D66" s="5" t="str">
        <f t="shared" ref="D66:D129" si="1">IF(AND(A66 &lt;&gt; "", B66 &lt;&gt; ""), _xlfn.CONCAT(A66, ".Containers.", SUBSTITUTE(SUBSTITUTE(SUBSTITUTE(SUBSTITUTE(SUBSTITUTE(B66,")",""),"(",""),"&amp;","And"),"-","")," ","")), "")</f>
        <v/>
      </c>
      <c r="E66" s="3"/>
    </row>
    <row r="67" spans="1:5" x14ac:dyDescent="0.3">
      <c r="A67" s="3"/>
      <c r="B67" s="3"/>
      <c r="C67" s="3"/>
      <c r="D67" s="5" t="str">
        <f t="shared" si="1"/>
        <v/>
      </c>
      <c r="E67" s="3"/>
    </row>
    <row r="68" spans="1:5" x14ac:dyDescent="0.3">
      <c r="A68" s="3"/>
      <c r="B68" s="3"/>
      <c r="C68" s="3"/>
      <c r="D68" s="5" t="str">
        <f t="shared" si="1"/>
        <v/>
      </c>
      <c r="E68" s="3"/>
    </row>
    <row r="69" spans="1:5" x14ac:dyDescent="0.3">
      <c r="A69" s="3"/>
      <c r="B69" s="3"/>
      <c r="C69" s="3"/>
      <c r="D69" s="5" t="str">
        <f t="shared" si="1"/>
        <v/>
      </c>
      <c r="E69" s="3"/>
    </row>
    <row r="70" spans="1:5" x14ac:dyDescent="0.3">
      <c r="A70" s="3"/>
      <c r="B70" s="3"/>
      <c r="C70" s="3"/>
      <c r="D70" s="5" t="str">
        <f t="shared" si="1"/>
        <v/>
      </c>
      <c r="E70" s="3"/>
    </row>
    <row r="71" spans="1:5" x14ac:dyDescent="0.3">
      <c r="A71" s="3"/>
      <c r="B71" s="3"/>
      <c r="C71" s="3"/>
      <c r="D71" s="5" t="str">
        <f t="shared" si="1"/>
        <v/>
      </c>
      <c r="E71" s="3"/>
    </row>
    <row r="72" spans="1:5" x14ac:dyDescent="0.3">
      <c r="A72" s="3"/>
      <c r="B72" s="3"/>
      <c r="C72" s="3"/>
      <c r="D72" s="5" t="str">
        <f t="shared" si="1"/>
        <v/>
      </c>
      <c r="E72" s="3"/>
    </row>
    <row r="73" spans="1:5" x14ac:dyDescent="0.3">
      <c r="A73" s="3"/>
      <c r="B73" s="3"/>
      <c r="C73" s="3"/>
      <c r="D73" s="5" t="str">
        <f t="shared" si="1"/>
        <v/>
      </c>
      <c r="E73" s="3"/>
    </row>
    <row r="74" spans="1:5" x14ac:dyDescent="0.3">
      <c r="A74" s="3"/>
      <c r="B74" s="3"/>
      <c r="C74" s="3"/>
      <c r="D74" s="5" t="str">
        <f t="shared" si="1"/>
        <v/>
      </c>
      <c r="E74" s="3"/>
    </row>
    <row r="75" spans="1:5" x14ac:dyDescent="0.3">
      <c r="A75" s="3"/>
      <c r="B75" s="3"/>
      <c r="C75" s="3"/>
      <c r="D75" s="5" t="str">
        <f t="shared" si="1"/>
        <v/>
      </c>
      <c r="E75" s="3"/>
    </row>
    <row r="76" spans="1:5" x14ac:dyDescent="0.3">
      <c r="A76" s="3"/>
      <c r="B76" s="3"/>
      <c r="C76" s="3"/>
      <c r="D76" s="5" t="str">
        <f t="shared" si="1"/>
        <v/>
      </c>
      <c r="E76" s="3"/>
    </row>
    <row r="77" spans="1:5" x14ac:dyDescent="0.3">
      <c r="A77" s="3"/>
      <c r="B77" s="3"/>
      <c r="C77" s="3"/>
      <c r="D77" s="5" t="str">
        <f t="shared" si="1"/>
        <v/>
      </c>
      <c r="E77" s="3"/>
    </row>
    <row r="78" spans="1:5" x14ac:dyDescent="0.3">
      <c r="A78" s="3"/>
      <c r="B78" s="3"/>
      <c r="C78" s="3"/>
      <c r="D78" s="5" t="str">
        <f t="shared" si="1"/>
        <v/>
      </c>
      <c r="E78" s="3"/>
    </row>
    <row r="79" spans="1:5" x14ac:dyDescent="0.3">
      <c r="A79" s="3"/>
      <c r="B79" s="3"/>
      <c r="C79" s="3"/>
      <c r="D79" s="5" t="str">
        <f t="shared" si="1"/>
        <v/>
      </c>
      <c r="E79" s="3"/>
    </row>
    <row r="80" spans="1:5" x14ac:dyDescent="0.3">
      <c r="A80" s="3"/>
      <c r="B80" s="3"/>
      <c r="C80" s="3"/>
      <c r="D80" s="5" t="str">
        <f t="shared" si="1"/>
        <v/>
      </c>
      <c r="E80" s="3"/>
    </row>
    <row r="81" spans="1:5" x14ac:dyDescent="0.3">
      <c r="A81" s="3"/>
      <c r="B81" s="3"/>
      <c r="C81" s="3"/>
      <c r="D81" s="5" t="str">
        <f t="shared" si="1"/>
        <v/>
      </c>
      <c r="E81" s="3"/>
    </row>
    <row r="82" spans="1:5" x14ac:dyDescent="0.3">
      <c r="A82" s="3"/>
      <c r="B82" s="3"/>
      <c r="C82" s="3"/>
      <c r="D82" s="5" t="str">
        <f t="shared" si="1"/>
        <v/>
      </c>
      <c r="E82" s="3"/>
    </row>
    <row r="83" spans="1:5" x14ac:dyDescent="0.3">
      <c r="A83" s="3"/>
      <c r="B83" s="3"/>
      <c r="C83" s="3"/>
      <c r="D83" s="5" t="str">
        <f t="shared" si="1"/>
        <v/>
      </c>
      <c r="E83" s="3"/>
    </row>
    <row r="84" spans="1:5" x14ac:dyDescent="0.3">
      <c r="A84" s="3"/>
      <c r="B84" s="3"/>
      <c r="C84" s="3"/>
      <c r="D84" s="5" t="str">
        <f t="shared" si="1"/>
        <v/>
      </c>
      <c r="E84" s="3"/>
    </row>
    <row r="85" spans="1:5" x14ac:dyDescent="0.3">
      <c r="A85" s="3"/>
      <c r="B85" s="3"/>
      <c r="C85" s="3"/>
      <c r="D85" s="5" t="str">
        <f t="shared" si="1"/>
        <v/>
      </c>
      <c r="E85" s="3"/>
    </row>
    <row r="86" spans="1:5" x14ac:dyDescent="0.3">
      <c r="A86" s="3"/>
      <c r="B86" s="3"/>
      <c r="C86" s="3"/>
      <c r="D86" s="5" t="str">
        <f t="shared" si="1"/>
        <v/>
      </c>
      <c r="E86" s="3"/>
    </row>
    <row r="87" spans="1:5" x14ac:dyDescent="0.3">
      <c r="A87" s="3"/>
      <c r="B87" s="3"/>
      <c r="C87" s="3"/>
      <c r="D87" s="5" t="str">
        <f t="shared" si="1"/>
        <v/>
      </c>
      <c r="E87" s="3"/>
    </row>
    <row r="88" spans="1:5" x14ac:dyDescent="0.3">
      <c r="A88" s="3"/>
      <c r="B88" s="3"/>
      <c r="C88" s="3"/>
      <c r="D88" s="5" t="str">
        <f t="shared" si="1"/>
        <v/>
      </c>
      <c r="E88" s="3"/>
    </row>
    <row r="89" spans="1:5" x14ac:dyDescent="0.3">
      <c r="A89" s="3"/>
      <c r="B89" s="3"/>
      <c r="C89" s="3"/>
      <c r="D89" s="5" t="str">
        <f t="shared" si="1"/>
        <v/>
      </c>
      <c r="E89" s="3"/>
    </row>
    <row r="90" spans="1:5" x14ac:dyDescent="0.3">
      <c r="A90" s="3"/>
      <c r="B90" s="3"/>
      <c r="C90" s="3"/>
      <c r="D90" s="5" t="str">
        <f t="shared" si="1"/>
        <v/>
      </c>
      <c r="E90" s="3"/>
    </row>
    <row r="91" spans="1:5" x14ac:dyDescent="0.3">
      <c r="A91" s="3"/>
      <c r="B91" s="3"/>
      <c r="C91" s="3"/>
      <c r="D91" s="5" t="str">
        <f t="shared" si="1"/>
        <v/>
      </c>
      <c r="E91" s="3"/>
    </row>
    <row r="92" spans="1:5" x14ac:dyDescent="0.3">
      <c r="A92" s="3"/>
      <c r="B92" s="3"/>
      <c r="C92" s="3"/>
      <c r="D92" s="5" t="str">
        <f t="shared" si="1"/>
        <v/>
      </c>
      <c r="E92" s="3"/>
    </row>
    <row r="93" spans="1:5" x14ac:dyDescent="0.3">
      <c r="A93" s="3"/>
      <c r="B93" s="3"/>
      <c r="C93" s="3"/>
      <c r="D93" s="5" t="str">
        <f t="shared" si="1"/>
        <v/>
      </c>
      <c r="E93" s="3"/>
    </row>
    <row r="94" spans="1:5" x14ac:dyDescent="0.3">
      <c r="A94" s="3"/>
      <c r="B94" s="3"/>
      <c r="C94" s="3"/>
      <c r="D94" s="5" t="str">
        <f t="shared" si="1"/>
        <v/>
      </c>
      <c r="E94" s="3"/>
    </row>
    <row r="95" spans="1:5" x14ac:dyDescent="0.3">
      <c r="A95" s="3"/>
      <c r="B95" s="3"/>
      <c r="C95" s="3"/>
      <c r="D95" s="5" t="str">
        <f t="shared" si="1"/>
        <v/>
      </c>
      <c r="E95" s="3"/>
    </row>
    <row r="96" spans="1:5" x14ac:dyDescent="0.3">
      <c r="A96" s="3"/>
      <c r="B96" s="3"/>
      <c r="C96" s="3"/>
      <c r="D96" s="5" t="str">
        <f t="shared" si="1"/>
        <v/>
      </c>
      <c r="E96" s="3"/>
    </row>
    <row r="97" spans="1:5" x14ac:dyDescent="0.3">
      <c r="A97" s="3"/>
      <c r="B97" s="3"/>
      <c r="C97" s="3"/>
      <c r="D97" s="5" t="str">
        <f t="shared" si="1"/>
        <v/>
      </c>
      <c r="E97" s="3"/>
    </row>
    <row r="98" spans="1:5" x14ac:dyDescent="0.3">
      <c r="A98" s="3"/>
      <c r="B98" s="3"/>
      <c r="C98" s="3"/>
      <c r="D98" s="5" t="str">
        <f t="shared" si="1"/>
        <v/>
      </c>
      <c r="E98" s="3"/>
    </row>
    <row r="99" spans="1:5" x14ac:dyDescent="0.3">
      <c r="A99" s="3"/>
      <c r="B99" s="3"/>
      <c r="C99" s="3"/>
      <c r="D99" s="5" t="str">
        <f t="shared" si="1"/>
        <v/>
      </c>
      <c r="E99" s="3"/>
    </row>
    <row r="100" spans="1:5" x14ac:dyDescent="0.3">
      <c r="A100" s="3"/>
      <c r="B100" s="3"/>
      <c r="C100" s="3"/>
      <c r="D100" s="5" t="str">
        <f t="shared" si="1"/>
        <v/>
      </c>
      <c r="E100" s="3"/>
    </row>
    <row r="101" spans="1:5" x14ac:dyDescent="0.3">
      <c r="A101" s="3"/>
      <c r="B101" s="3"/>
      <c r="C101" s="3"/>
      <c r="D101" s="5" t="str">
        <f t="shared" si="1"/>
        <v/>
      </c>
      <c r="E101" s="3"/>
    </row>
    <row r="102" spans="1:5" x14ac:dyDescent="0.3">
      <c r="A102" s="3"/>
      <c r="B102" s="3"/>
      <c r="C102" s="3"/>
      <c r="D102" s="5" t="str">
        <f t="shared" si="1"/>
        <v/>
      </c>
      <c r="E102" s="3"/>
    </row>
    <row r="103" spans="1:5" x14ac:dyDescent="0.3">
      <c r="A103" s="3"/>
      <c r="B103" s="3"/>
      <c r="C103" s="3"/>
      <c r="D103" s="5" t="str">
        <f t="shared" si="1"/>
        <v/>
      </c>
      <c r="E103" s="3"/>
    </row>
    <row r="104" spans="1:5" x14ac:dyDescent="0.3">
      <c r="A104" s="3"/>
      <c r="B104" s="3"/>
      <c r="C104" s="3"/>
      <c r="D104" s="5" t="str">
        <f t="shared" si="1"/>
        <v/>
      </c>
      <c r="E104" s="3"/>
    </row>
    <row r="105" spans="1:5" x14ac:dyDescent="0.3">
      <c r="A105" s="3"/>
      <c r="B105" s="3"/>
      <c r="C105" s="3"/>
      <c r="D105" s="5" t="str">
        <f t="shared" si="1"/>
        <v/>
      </c>
      <c r="E105" s="3"/>
    </row>
    <row r="106" spans="1:5" x14ac:dyDescent="0.3">
      <c r="A106" s="3"/>
      <c r="B106" s="3"/>
      <c r="C106" s="3"/>
      <c r="D106" s="5" t="str">
        <f t="shared" si="1"/>
        <v/>
      </c>
      <c r="E106" s="3"/>
    </row>
    <row r="107" spans="1:5" x14ac:dyDescent="0.3">
      <c r="A107" s="3"/>
      <c r="B107" s="3"/>
      <c r="C107" s="3"/>
      <c r="D107" s="5" t="str">
        <f t="shared" si="1"/>
        <v/>
      </c>
      <c r="E107" s="3"/>
    </row>
    <row r="108" spans="1:5" x14ac:dyDescent="0.3">
      <c r="A108" s="3"/>
      <c r="B108" s="3"/>
      <c r="C108" s="3"/>
      <c r="D108" s="5" t="str">
        <f t="shared" si="1"/>
        <v/>
      </c>
      <c r="E108" s="3"/>
    </row>
    <row r="109" spans="1:5" x14ac:dyDescent="0.3">
      <c r="A109" s="3"/>
      <c r="B109" s="3"/>
      <c r="C109" s="3"/>
      <c r="D109" s="5" t="str">
        <f t="shared" si="1"/>
        <v/>
      </c>
      <c r="E109" s="3"/>
    </row>
    <row r="110" spans="1:5" x14ac:dyDescent="0.3">
      <c r="A110" s="3"/>
      <c r="B110" s="3"/>
      <c r="C110" s="3"/>
      <c r="D110" s="5" t="str">
        <f t="shared" si="1"/>
        <v/>
      </c>
      <c r="E110" s="3"/>
    </row>
    <row r="111" spans="1:5" x14ac:dyDescent="0.3">
      <c r="A111" s="3"/>
      <c r="B111" s="3"/>
      <c r="C111" s="3"/>
      <c r="D111" s="5" t="str">
        <f t="shared" si="1"/>
        <v/>
      </c>
      <c r="E111" s="3"/>
    </row>
    <row r="112" spans="1:5" x14ac:dyDescent="0.3">
      <c r="A112" s="3"/>
      <c r="B112" s="3"/>
      <c r="C112" s="3"/>
      <c r="D112" s="5" t="str">
        <f t="shared" si="1"/>
        <v/>
      </c>
      <c r="E112" s="3"/>
    </row>
    <row r="113" spans="1:5" x14ac:dyDescent="0.3">
      <c r="A113" s="3"/>
      <c r="B113" s="3"/>
      <c r="C113" s="3"/>
      <c r="D113" s="5" t="str">
        <f t="shared" si="1"/>
        <v/>
      </c>
      <c r="E113" s="3"/>
    </row>
    <row r="114" spans="1:5" x14ac:dyDescent="0.3">
      <c r="A114" s="3"/>
      <c r="B114" s="3"/>
      <c r="C114" s="3"/>
      <c r="D114" s="5" t="str">
        <f t="shared" si="1"/>
        <v/>
      </c>
      <c r="E114" s="3"/>
    </row>
    <row r="115" spans="1:5" x14ac:dyDescent="0.3">
      <c r="A115" s="3"/>
      <c r="B115" s="3"/>
      <c r="C115" s="3"/>
      <c r="D115" s="5" t="str">
        <f t="shared" si="1"/>
        <v/>
      </c>
      <c r="E115" s="3"/>
    </row>
    <row r="116" spans="1:5" x14ac:dyDescent="0.3">
      <c r="A116" s="3"/>
      <c r="B116" s="3"/>
      <c r="C116" s="3"/>
      <c r="D116" s="5" t="str">
        <f t="shared" si="1"/>
        <v/>
      </c>
      <c r="E116" s="3"/>
    </row>
    <row r="117" spans="1:5" x14ac:dyDescent="0.3">
      <c r="A117" s="3"/>
      <c r="B117" s="3"/>
      <c r="C117" s="3"/>
      <c r="D117" s="5" t="str">
        <f t="shared" si="1"/>
        <v/>
      </c>
      <c r="E117" s="3"/>
    </row>
    <row r="118" spans="1:5" x14ac:dyDescent="0.3">
      <c r="A118" s="3"/>
      <c r="B118" s="3"/>
      <c r="C118" s="3"/>
      <c r="D118" s="5" t="str">
        <f t="shared" si="1"/>
        <v/>
      </c>
      <c r="E118" s="3"/>
    </row>
    <row r="119" spans="1:5" x14ac:dyDescent="0.3">
      <c r="A119" s="3"/>
      <c r="B119" s="3"/>
      <c r="C119" s="3"/>
      <c r="D119" s="5" t="str">
        <f t="shared" si="1"/>
        <v/>
      </c>
      <c r="E119" s="3"/>
    </row>
    <row r="120" spans="1:5" x14ac:dyDescent="0.3">
      <c r="A120" s="3"/>
      <c r="B120" s="3"/>
      <c r="C120" s="3"/>
      <c r="D120" s="5" t="str">
        <f t="shared" si="1"/>
        <v/>
      </c>
      <c r="E120" s="3"/>
    </row>
    <row r="121" spans="1:5" x14ac:dyDescent="0.3">
      <c r="A121" s="3"/>
      <c r="B121" s="3"/>
      <c r="C121" s="3"/>
      <c r="D121" s="5" t="str">
        <f t="shared" si="1"/>
        <v/>
      </c>
      <c r="E121" s="3"/>
    </row>
    <row r="122" spans="1:5" x14ac:dyDescent="0.3">
      <c r="A122" s="3"/>
      <c r="B122" s="3"/>
      <c r="C122" s="3"/>
      <c r="D122" s="5" t="str">
        <f t="shared" si="1"/>
        <v/>
      </c>
      <c r="E122" s="3"/>
    </row>
    <row r="123" spans="1:5" x14ac:dyDescent="0.3">
      <c r="A123" s="3"/>
      <c r="B123" s="3"/>
      <c r="C123" s="3"/>
      <c r="D123" s="5" t="str">
        <f t="shared" si="1"/>
        <v/>
      </c>
      <c r="E123" s="3"/>
    </row>
    <row r="124" spans="1:5" x14ac:dyDescent="0.3">
      <c r="A124" s="3"/>
      <c r="B124" s="3"/>
      <c r="C124" s="3"/>
      <c r="D124" s="5" t="str">
        <f t="shared" si="1"/>
        <v/>
      </c>
      <c r="E124" s="3"/>
    </row>
    <row r="125" spans="1:5" x14ac:dyDescent="0.3">
      <c r="A125" s="3"/>
      <c r="B125" s="3"/>
      <c r="C125" s="3"/>
      <c r="D125" s="5" t="str">
        <f t="shared" si="1"/>
        <v/>
      </c>
      <c r="E125" s="3"/>
    </row>
    <row r="126" spans="1:5" x14ac:dyDescent="0.3">
      <c r="A126" s="3"/>
      <c r="B126" s="3"/>
      <c r="C126" s="3"/>
      <c r="D126" s="5" t="str">
        <f t="shared" si="1"/>
        <v/>
      </c>
      <c r="E126" s="3"/>
    </row>
    <row r="127" spans="1:5" x14ac:dyDescent="0.3">
      <c r="A127" s="3"/>
      <c r="B127" s="3"/>
      <c r="C127" s="3"/>
      <c r="D127" s="5" t="str">
        <f t="shared" si="1"/>
        <v/>
      </c>
      <c r="E127" s="3"/>
    </row>
    <row r="128" spans="1:5" x14ac:dyDescent="0.3">
      <c r="A128" s="3"/>
      <c r="B128" s="3"/>
      <c r="C128" s="3"/>
      <c r="D128" s="5" t="str">
        <f t="shared" si="1"/>
        <v/>
      </c>
      <c r="E128" s="3"/>
    </row>
    <row r="129" spans="1:5" x14ac:dyDescent="0.3">
      <c r="A129" s="3"/>
      <c r="B129" s="3"/>
      <c r="C129" s="3"/>
      <c r="D129" s="5" t="str">
        <f t="shared" si="1"/>
        <v/>
      </c>
      <c r="E129" s="3"/>
    </row>
    <row r="130" spans="1:5" x14ac:dyDescent="0.3">
      <c r="A130" s="3"/>
      <c r="B130" s="3"/>
      <c r="C130" s="3"/>
      <c r="D130" s="5" t="str">
        <f t="shared" ref="D130:D193" si="2">IF(AND(A130 &lt;&gt; "", B130 &lt;&gt; ""), _xlfn.CONCAT(A130, ".Containers.", SUBSTITUTE(SUBSTITUTE(SUBSTITUTE(SUBSTITUTE(SUBSTITUTE(B130,")",""),"(",""),"&amp;","And"),"-","")," ","")), "")</f>
        <v/>
      </c>
      <c r="E130" s="3"/>
    </row>
    <row r="131" spans="1:5" x14ac:dyDescent="0.3">
      <c r="A131" s="3"/>
      <c r="B131" s="3"/>
      <c r="C131" s="3"/>
      <c r="D131" s="5" t="str">
        <f t="shared" si="2"/>
        <v/>
      </c>
      <c r="E131" s="3"/>
    </row>
    <row r="132" spans="1:5" x14ac:dyDescent="0.3">
      <c r="A132" s="3"/>
      <c r="B132" s="3"/>
      <c r="C132" s="3"/>
      <c r="D132" s="5" t="str">
        <f t="shared" si="2"/>
        <v/>
      </c>
      <c r="E132" s="3"/>
    </row>
    <row r="133" spans="1:5" x14ac:dyDescent="0.3">
      <c r="A133" s="3"/>
      <c r="B133" s="3"/>
      <c r="C133" s="3"/>
      <c r="D133" s="5" t="str">
        <f t="shared" si="2"/>
        <v/>
      </c>
      <c r="E133" s="3"/>
    </row>
    <row r="134" spans="1:5" x14ac:dyDescent="0.3">
      <c r="A134" s="3"/>
      <c r="B134" s="3"/>
      <c r="C134" s="3"/>
      <c r="D134" s="5" t="str">
        <f t="shared" si="2"/>
        <v/>
      </c>
      <c r="E134" s="3"/>
    </row>
    <row r="135" spans="1:5" x14ac:dyDescent="0.3">
      <c r="A135" s="3"/>
      <c r="B135" s="3"/>
      <c r="C135" s="3"/>
      <c r="D135" s="5" t="str">
        <f t="shared" si="2"/>
        <v/>
      </c>
      <c r="E135" s="3"/>
    </row>
    <row r="136" spans="1:5" x14ac:dyDescent="0.3">
      <c r="A136" s="3"/>
      <c r="B136" s="3"/>
      <c r="C136" s="3"/>
      <c r="D136" s="5" t="str">
        <f t="shared" si="2"/>
        <v/>
      </c>
      <c r="E136" s="3"/>
    </row>
    <row r="137" spans="1:5" x14ac:dyDescent="0.3">
      <c r="A137" s="3"/>
      <c r="B137" s="3"/>
      <c r="C137" s="3"/>
      <c r="D137" s="5" t="str">
        <f t="shared" si="2"/>
        <v/>
      </c>
      <c r="E137" s="3"/>
    </row>
    <row r="138" spans="1:5" x14ac:dyDescent="0.3">
      <c r="A138" s="3"/>
      <c r="B138" s="3"/>
      <c r="C138" s="3"/>
      <c r="D138" s="5" t="str">
        <f t="shared" si="2"/>
        <v/>
      </c>
      <c r="E138" s="3"/>
    </row>
    <row r="139" spans="1:5" x14ac:dyDescent="0.3">
      <c r="A139" s="3"/>
      <c r="B139" s="3"/>
      <c r="C139" s="3"/>
      <c r="D139" s="5" t="str">
        <f t="shared" si="2"/>
        <v/>
      </c>
      <c r="E139" s="3"/>
    </row>
    <row r="140" spans="1:5" x14ac:dyDescent="0.3">
      <c r="A140" s="3"/>
      <c r="B140" s="3"/>
      <c r="C140" s="3"/>
      <c r="D140" s="5" t="str">
        <f t="shared" si="2"/>
        <v/>
      </c>
      <c r="E140" s="3"/>
    </row>
    <row r="141" spans="1:5" x14ac:dyDescent="0.3">
      <c r="A141" s="3"/>
      <c r="B141" s="3"/>
      <c r="C141" s="3"/>
      <c r="D141" s="5" t="str">
        <f t="shared" si="2"/>
        <v/>
      </c>
      <c r="E141" s="3"/>
    </row>
    <row r="142" spans="1:5" x14ac:dyDescent="0.3">
      <c r="A142" s="3"/>
      <c r="B142" s="3"/>
      <c r="C142" s="3"/>
      <c r="D142" s="5" t="str">
        <f t="shared" si="2"/>
        <v/>
      </c>
      <c r="E142" s="3"/>
    </row>
    <row r="143" spans="1:5" x14ac:dyDescent="0.3">
      <c r="A143" s="3"/>
      <c r="B143" s="3"/>
      <c r="C143" s="3"/>
      <c r="D143" s="5" t="str">
        <f t="shared" si="2"/>
        <v/>
      </c>
      <c r="E143" s="3"/>
    </row>
    <row r="144" spans="1:5" x14ac:dyDescent="0.3">
      <c r="A144" s="3"/>
      <c r="B144" s="3"/>
      <c r="C144" s="3"/>
      <c r="D144" s="5" t="str">
        <f t="shared" si="2"/>
        <v/>
      </c>
      <c r="E144" s="3"/>
    </row>
    <row r="145" spans="1:5" x14ac:dyDescent="0.3">
      <c r="A145" s="3"/>
      <c r="B145" s="3"/>
      <c r="C145" s="3"/>
      <c r="D145" s="5" t="str">
        <f t="shared" si="2"/>
        <v/>
      </c>
      <c r="E145" s="3"/>
    </row>
    <row r="146" spans="1:5" x14ac:dyDescent="0.3">
      <c r="A146" s="3"/>
      <c r="B146" s="3"/>
      <c r="C146" s="3"/>
      <c r="D146" s="5" t="str">
        <f t="shared" si="2"/>
        <v/>
      </c>
      <c r="E146" s="3"/>
    </row>
    <row r="147" spans="1:5" x14ac:dyDescent="0.3">
      <c r="A147" s="3"/>
      <c r="B147" s="3"/>
      <c r="C147" s="3"/>
      <c r="D147" s="5" t="str">
        <f t="shared" si="2"/>
        <v/>
      </c>
      <c r="E147" s="3"/>
    </row>
    <row r="148" spans="1:5" x14ac:dyDescent="0.3">
      <c r="A148" s="3"/>
      <c r="B148" s="3"/>
      <c r="C148" s="3"/>
      <c r="D148" s="5" t="str">
        <f t="shared" si="2"/>
        <v/>
      </c>
      <c r="E148" s="3"/>
    </row>
    <row r="149" spans="1:5" x14ac:dyDescent="0.3">
      <c r="A149" s="3"/>
      <c r="B149" s="3"/>
      <c r="C149" s="3"/>
      <c r="D149" s="5" t="str">
        <f t="shared" si="2"/>
        <v/>
      </c>
      <c r="E149" s="3"/>
    </row>
    <row r="150" spans="1:5" x14ac:dyDescent="0.3">
      <c r="A150" s="3"/>
      <c r="B150" s="3"/>
      <c r="C150" s="3"/>
      <c r="D150" s="5" t="str">
        <f t="shared" si="2"/>
        <v/>
      </c>
      <c r="E150" s="3"/>
    </row>
    <row r="151" spans="1:5" x14ac:dyDescent="0.3">
      <c r="A151" s="3"/>
      <c r="B151" s="3"/>
      <c r="C151" s="3"/>
      <c r="D151" s="5" t="str">
        <f t="shared" si="2"/>
        <v/>
      </c>
      <c r="E151" s="3"/>
    </row>
    <row r="152" spans="1:5" x14ac:dyDescent="0.3">
      <c r="A152" s="3"/>
      <c r="B152" s="3"/>
      <c r="C152" s="3"/>
      <c r="D152" s="5" t="str">
        <f t="shared" si="2"/>
        <v/>
      </c>
      <c r="E152" s="3"/>
    </row>
    <row r="153" spans="1:5" x14ac:dyDescent="0.3">
      <c r="A153" s="3"/>
      <c r="B153" s="3"/>
      <c r="C153" s="3"/>
      <c r="D153" s="5" t="str">
        <f t="shared" si="2"/>
        <v/>
      </c>
      <c r="E153" s="3"/>
    </row>
    <row r="154" spans="1:5" x14ac:dyDescent="0.3">
      <c r="A154" s="3"/>
      <c r="B154" s="3"/>
      <c r="C154" s="3"/>
      <c r="D154" s="5" t="str">
        <f t="shared" si="2"/>
        <v/>
      </c>
      <c r="E154" s="3"/>
    </row>
    <row r="155" spans="1:5" x14ac:dyDescent="0.3">
      <c r="A155" s="3"/>
      <c r="B155" s="3"/>
      <c r="C155" s="3"/>
      <c r="D155" s="5" t="str">
        <f t="shared" si="2"/>
        <v/>
      </c>
      <c r="E155" s="3"/>
    </row>
    <row r="156" spans="1:5" x14ac:dyDescent="0.3">
      <c r="A156" s="3"/>
      <c r="B156" s="3"/>
      <c r="C156" s="3"/>
      <c r="D156" s="5" t="str">
        <f t="shared" si="2"/>
        <v/>
      </c>
      <c r="E156" s="3"/>
    </row>
    <row r="157" spans="1:5" x14ac:dyDescent="0.3">
      <c r="A157" s="3"/>
      <c r="B157" s="3"/>
      <c r="C157" s="3"/>
      <c r="D157" s="5" t="str">
        <f t="shared" si="2"/>
        <v/>
      </c>
      <c r="E157" s="3"/>
    </row>
    <row r="158" spans="1:5" x14ac:dyDescent="0.3">
      <c r="A158" s="3"/>
      <c r="B158" s="3"/>
      <c r="C158" s="3"/>
      <c r="D158" s="5" t="str">
        <f t="shared" si="2"/>
        <v/>
      </c>
      <c r="E158" s="3"/>
    </row>
    <row r="159" spans="1:5" x14ac:dyDescent="0.3">
      <c r="A159" s="3"/>
      <c r="B159" s="3"/>
      <c r="C159" s="3"/>
      <c r="D159" s="5" t="str">
        <f t="shared" si="2"/>
        <v/>
      </c>
      <c r="E159" s="3"/>
    </row>
    <row r="160" spans="1:5" x14ac:dyDescent="0.3">
      <c r="A160" s="3"/>
      <c r="B160" s="3"/>
      <c r="C160" s="3"/>
      <c r="D160" s="5" t="str">
        <f t="shared" si="2"/>
        <v/>
      </c>
      <c r="E160" s="3"/>
    </row>
    <row r="161" spans="1:5" x14ac:dyDescent="0.3">
      <c r="A161" s="3"/>
      <c r="B161" s="3"/>
      <c r="C161" s="3"/>
      <c r="D161" s="5" t="str">
        <f t="shared" si="2"/>
        <v/>
      </c>
      <c r="E161" s="3"/>
    </row>
    <row r="162" spans="1:5" x14ac:dyDescent="0.3">
      <c r="A162" s="3"/>
      <c r="B162" s="3"/>
      <c r="C162" s="3"/>
      <c r="D162" s="5" t="str">
        <f t="shared" si="2"/>
        <v/>
      </c>
      <c r="E162" s="3"/>
    </row>
    <row r="163" spans="1:5" x14ac:dyDescent="0.3">
      <c r="A163" s="3"/>
      <c r="B163" s="3"/>
      <c r="C163" s="3"/>
      <c r="D163" s="5" t="str">
        <f t="shared" si="2"/>
        <v/>
      </c>
      <c r="E163" s="3"/>
    </row>
    <row r="164" spans="1:5" x14ac:dyDescent="0.3">
      <c r="A164" s="3"/>
      <c r="B164" s="3"/>
      <c r="C164" s="3"/>
      <c r="D164" s="5" t="str">
        <f t="shared" si="2"/>
        <v/>
      </c>
      <c r="E164" s="3"/>
    </row>
    <row r="165" spans="1:5" x14ac:dyDescent="0.3">
      <c r="A165" s="3"/>
      <c r="B165" s="3"/>
      <c r="C165" s="3"/>
      <c r="D165" s="5" t="str">
        <f t="shared" si="2"/>
        <v/>
      </c>
      <c r="E165" s="3"/>
    </row>
    <row r="166" spans="1:5" x14ac:dyDescent="0.3">
      <c r="A166" s="3"/>
      <c r="B166" s="3"/>
      <c r="C166" s="3"/>
      <c r="D166" s="5" t="str">
        <f t="shared" si="2"/>
        <v/>
      </c>
      <c r="E166" s="3"/>
    </row>
    <row r="167" spans="1:5" x14ac:dyDescent="0.3">
      <c r="A167" s="3"/>
      <c r="B167" s="3"/>
      <c r="C167" s="3"/>
      <c r="D167" s="5" t="str">
        <f t="shared" si="2"/>
        <v/>
      </c>
      <c r="E167" s="3"/>
    </row>
    <row r="168" spans="1:5" x14ac:dyDescent="0.3">
      <c r="A168" s="3"/>
      <c r="B168" s="3"/>
      <c r="C168" s="3"/>
      <c r="D168" s="5" t="str">
        <f t="shared" si="2"/>
        <v/>
      </c>
      <c r="E168" s="3"/>
    </row>
    <row r="169" spans="1:5" x14ac:dyDescent="0.3">
      <c r="A169" s="3"/>
      <c r="B169" s="3"/>
      <c r="C169" s="3"/>
      <c r="D169" s="5" t="str">
        <f t="shared" si="2"/>
        <v/>
      </c>
      <c r="E169" s="3"/>
    </row>
    <row r="170" spans="1:5" x14ac:dyDescent="0.3">
      <c r="A170" s="3"/>
      <c r="B170" s="3"/>
      <c r="C170" s="3"/>
      <c r="D170" s="5" t="str">
        <f t="shared" si="2"/>
        <v/>
      </c>
      <c r="E170" s="3"/>
    </row>
    <row r="171" spans="1:5" x14ac:dyDescent="0.3">
      <c r="A171" s="3"/>
      <c r="B171" s="3"/>
      <c r="C171" s="3"/>
      <c r="D171" s="5" t="str">
        <f t="shared" si="2"/>
        <v/>
      </c>
      <c r="E171" s="3"/>
    </row>
    <row r="172" spans="1:5" x14ac:dyDescent="0.3">
      <c r="A172" s="3"/>
      <c r="B172" s="3"/>
      <c r="C172" s="3"/>
      <c r="D172" s="5" t="str">
        <f t="shared" si="2"/>
        <v/>
      </c>
      <c r="E172" s="3"/>
    </row>
    <row r="173" spans="1:5" x14ac:dyDescent="0.3">
      <c r="A173" s="3"/>
      <c r="B173" s="3"/>
      <c r="C173" s="3"/>
      <c r="D173" s="5" t="str">
        <f t="shared" si="2"/>
        <v/>
      </c>
      <c r="E173" s="3"/>
    </row>
    <row r="174" spans="1:5" x14ac:dyDescent="0.3">
      <c r="A174" s="3"/>
      <c r="B174" s="3"/>
      <c r="C174" s="3"/>
      <c r="D174" s="5" t="str">
        <f t="shared" si="2"/>
        <v/>
      </c>
      <c r="E174" s="3"/>
    </row>
    <row r="175" spans="1:5" x14ac:dyDescent="0.3">
      <c r="A175" s="3"/>
      <c r="B175" s="3"/>
      <c r="C175" s="3"/>
      <c r="D175" s="5" t="str">
        <f t="shared" si="2"/>
        <v/>
      </c>
      <c r="E175" s="3"/>
    </row>
    <row r="176" spans="1:5" x14ac:dyDescent="0.3">
      <c r="A176" s="3"/>
      <c r="B176" s="3"/>
      <c r="C176" s="3"/>
      <c r="D176" s="5" t="str">
        <f t="shared" si="2"/>
        <v/>
      </c>
      <c r="E176" s="3"/>
    </row>
    <row r="177" spans="1:5" x14ac:dyDescent="0.3">
      <c r="A177" s="3"/>
      <c r="B177" s="3"/>
      <c r="C177" s="3"/>
      <c r="D177" s="5" t="str">
        <f t="shared" si="2"/>
        <v/>
      </c>
      <c r="E177" s="3"/>
    </row>
    <row r="178" spans="1:5" x14ac:dyDescent="0.3">
      <c r="A178" s="3"/>
      <c r="B178" s="3"/>
      <c r="C178" s="3"/>
      <c r="D178" s="5" t="str">
        <f t="shared" si="2"/>
        <v/>
      </c>
      <c r="E178" s="3"/>
    </row>
    <row r="179" spans="1:5" x14ac:dyDescent="0.3">
      <c r="A179" s="3"/>
      <c r="B179" s="3"/>
      <c r="C179" s="3"/>
      <c r="D179" s="5" t="str">
        <f t="shared" si="2"/>
        <v/>
      </c>
      <c r="E179" s="3"/>
    </row>
    <row r="180" spans="1:5" x14ac:dyDescent="0.3">
      <c r="A180" s="3"/>
      <c r="B180" s="3"/>
      <c r="C180" s="3"/>
      <c r="D180" s="5" t="str">
        <f t="shared" si="2"/>
        <v/>
      </c>
      <c r="E180" s="3"/>
    </row>
    <row r="181" spans="1:5" x14ac:dyDescent="0.3">
      <c r="A181" s="3"/>
      <c r="B181" s="3"/>
      <c r="C181" s="3"/>
      <c r="D181" s="5" t="str">
        <f t="shared" si="2"/>
        <v/>
      </c>
      <c r="E181" s="3"/>
    </row>
    <row r="182" spans="1:5" x14ac:dyDescent="0.3">
      <c r="A182" s="3"/>
      <c r="B182" s="3"/>
      <c r="C182" s="3"/>
      <c r="D182" s="5" t="str">
        <f t="shared" si="2"/>
        <v/>
      </c>
      <c r="E182" s="3"/>
    </row>
    <row r="183" spans="1:5" x14ac:dyDescent="0.3">
      <c r="A183" s="3"/>
      <c r="B183" s="3"/>
      <c r="C183" s="3"/>
      <c r="D183" s="5" t="str">
        <f t="shared" si="2"/>
        <v/>
      </c>
      <c r="E183" s="3"/>
    </row>
    <row r="184" spans="1:5" x14ac:dyDescent="0.3">
      <c r="A184" s="3"/>
      <c r="B184" s="3"/>
      <c r="C184" s="3"/>
      <c r="D184" s="5" t="str">
        <f t="shared" si="2"/>
        <v/>
      </c>
      <c r="E184" s="3"/>
    </row>
    <row r="185" spans="1:5" x14ac:dyDescent="0.3">
      <c r="A185" s="3"/>
      <c r="B185" s="3"/>
      <c r="C185" s="3"/>
      <c r="D185" s="5" t="str">
        <f t="shared" si="2"/>
        <v/>
      </c>
      <c r="E185" s="3"/>
    </row>
    <row r="186" spans="1:5" x14ac:dyDescent="0.3">
      <c r="A186" s="3"/>
      <c r="B186" s="3"/>
      <c r="C186" s="3"/>
      <c r="D186" s="5" t="str">
        <f t="shared" si="2"/>
        <v/>
      </c>
      <c r="E186" s="3"/>
    </row>
    <row r="187" spans="1:5" x14ac:dyDescent="0.3">
      <c r="A187" s="3"/>
      <c r="B187" s="3"/>
      <c r="C187" s="3"/>
      <c r="D187" s="5" t="str">
        <f t="shared" si="2"/>
        <v/>
      </c>
      <c r="E187" s="3"/>
    </row>
    <row r="188" spans="1:5" x14ac:dyDescent="0.3">
      <c r="A188" s="3"/>
      <c r="B188" s="3"/>
      <c r="C188" s="3"/>
      <c r="D188" s="5" t="str">
        <f t="shared" si="2"/>
        <v/>
      </c>
      <c r="E188" s="3"/>
    </row>
    <row r="189" spans="1:5" x14ac:dyDescent="0.3">
      <c r="A189" s="3"/>
      <c r="B189" s="3"/>
      <c r="C189" s="3"/>
      <c r="D189" s="5" t="str">
        <f t="shared" si="2"/>
        <v/>
      </c>
      <c r="E189" s="3"/>
    </row>
    <row r="190" spans="1:5" x14ac:dyDescent="0.3">
      <c r="A190" s="3"/>
      <c r="B190" s="3"/>
      <c r="C190" s="3"/>
      <c r="D190" s="5" t="str">
        <f t="shared" si="2"/>
        <v/>
      </c>
      <c r="E190" s="3"/>
    </row>
    <row r="191" spans="1:5" x14ac:dyDescent="0.3">
      <c r="A191" s="3"/>
      <c r="B191" s="3"/>
      <c r="C191" s="3"/>
      <c r="D191" s="5" t="str">
        <f t="shared" si="2"/>
        <v/>
      </c>
      <c r="E191" s="3"/>
    </row>
    <row r="192" spans="1:5" x14ac:dyDescent="0.3">
      <c r="A192" s="3"/>
      <c r="B192" s="3"/>
      <c r="C192" s="3"/>
      <c r="D192" s="5" t="str">
        <f t="shared" si="2"/>
        <v/>
      </c>
      <c r="E192" s="3"/>
    </row>
    <row r="193" spans="1:5" x14ac:dyDescent="0.3">
      <c r="A193" s="3"/>
      <c r="B193" s="3"/>
      <c r="C193" s="3"/>
      <c r="D193" s="5" t="str">
        <f t="shared" si="2"/>
        <v/>
      </c>
      <c r="E193" s="3"/>
    </row>
    <row r="194" spans="1:5" x14ac:dyDescent="0.3">
      <c r="A194" s="3"/>
      <c r="B194" s="3"/>
      <c r="C194" s="3"/>
      <c r="D194" s="5" t="str">
        <f t="shared" ref="D194:D257" si="3">IF(AND(A194 &lt;&gt; "", B194 &lt;&gt; ""), _xlfn.CONCAT(A194, ".Containers.", SUBSTITUTE(SUBSTITUTE(SUBSTITUTE(SUBSTITUTE(SUBSTITUTE(B194,")",""),"(",""),"&amp;","And"),"-","")," ","")), "")</f>
        <v/>
      </c>
      <c r="E194" s="3"/>
    </row>
    <row r="195" spans="1:5" x14ac:dyDescent="0.3">
      <c r="A195" s="3"/>
      <c r="B195" s="3"/>
      <c r="C195" s="3"/>
      <c r="D195" s="5" t="str">
        <f t="shared" si="3"/>
        <v/>
      </c>
      <c r="E195" s="3"/>
    </row>
    <row r="196" spans="1:5" x14ac:dyDescent="0.3">
      <c r="A196" s="3"/>
      <c r="B196" s="3"/>
      <c r="C196" s="3"/>
      <c r="D196" s="5" t="str">
        <f t="shared" si="3"/>
        <v/>
      </c>
      <c r="E196" s="3"/>
    </row>
    <row r="197" spans="1:5" x14ac:dyDescent="0.3">
      <c r="A197" s="3"/>
      <c r="B197" s="3"/>
      <c r="C197" s="3"/>
      <c r="D197" s="5" t="str">
        <f t="shared" si="3"/>
        <v/>
      </c>
      <c r="E197" s="3"/>
    </row>
    <row r="198" spans="1:5" x14ac:dyDescent="0.3">
      <c r="A198" s="3"/>
      <c r="B198" s="3"/>
      <c r="C198" s="3"/>
      <c r="D198" s="5" t="str">
        <f t="shared" si="3"/>
        <v/>
      </c>
      <c r="E198" s="3"/>
    </row>
    <row r="199" spans="1:5" x14ac:dyDescent="0.3">
      <c r="A199" s="3"/>
      <c r="B199" s="3"/>
      <c r="C199" s="3"/>
      <c r="D199" s="5" t="str">
        <f t="shared" si="3"/>
        <v/>
      </c>
      <c r="E199" s="3"/>
    </row>
    <row r="200" spans="1:5" x14ac:dyDescent="0.3">
      <c r="A200" s="3"/>
      <c r="B200" s="3"/>
      <c r="C200" s="3"/>
      <c r="D200" s="5" t="str">
        <f t="shared" si="3"/>
        <v/>
      </c>
      <c r="E200" s="3"/>
    </row>
    <row r="201" spans="1:5" x14ac:dyDescent="0.3">
      <c r="A201" s="3"/>
      <c r="B201" s="3"/>
      <c r="C201" s="3"/>
      <c r="D201" s="5" t="str">
        <f t="shared" si="3"/>
        <v/>
      </c>
      <c r="E201" s="3"/>
    </row>
    <row r="202" spans="1:5" x14ac:dyDescent="0.3">
      <c r="A202" s="3"/>
      <c r="B202" s="3"/>
      <c r="C202" s="3"/>
      <c r="D202" s="5" t="str">
        <f t="shared" si="3"/>
        <v/>
      </c>
      <c r="E202" s="3"/>
    </row>
    <row r="203" spans="1:5" x14ac:dyDescent="0.3">
      <c r="A203" s="3"/>
      <c r="B203" s="3"/>
      <c r="C203" s="3"/>
      <c r="D203" s="5" t="str">
        <f t="shared" si="3"/>
        <v/>
      </c>
      <c r="E203" s="3"/>
    </row>
    <row r="204" spans="1:5" x14ac:dyDescent="0.3">
      <c r="A204" s="3"/>
      <c r="B204" s="3"/>
      <c r="C204" s="3"/>
      <c r="D204" s="5" t="str">
        <f t="shared" si="3"/>
        <v/>
      </c>
      <c r="E204" s="3"/>
    </row>
    <row r="205" spans="1:5" x14ac:dyDescent="0.3">
      <c r="A205" s="3"/>
      <c r="B205" s="3"/>
      <c r="C205" s="3"/>
      <c r="D205" s="5" t="str">
        <f t="shared" si="3"/>
        <v/>
      </c>
      <c r="E205" s="3"/>
    </row>
    <row r="206" spans="1:5" x14ac:dyDescent="0.3">
      <c r="A206" s="3"/>
      <c r="B206" s="3"/>
      <c r="C206" s="3"/>
      <c r="D206" s="5" t="str">
        <f t="shared" si="3"/>
        <v/>
      </c>
      <c r="E206" s="3"/>
    </row>
    <row r="207" spans="1:5" x14ac:dyDescent="0.3">
      <c r="A207" s="3"/>
      <c r="B207" s="3"/>
      <c r="C207" s="3"/>
      <c r="D207" s="5" t="str">
        <f t="shared" si="3"/>
        <v/>
      </c>
      <c r="E207" s="3"/>
    </row>
    <row r="208" spans="1:5" x14ac:dyDescent="0.3">
      <c r="A208" s="3"/>
      <c r="B208" s="3"/>
      <c r="C208" s="3"/>
      <c r="D208" s="5" t="str">
        <f t="shared" si="3"/>
        <v/>
      </c>
      <c r="E208" s="3"/>
    </row>
    <row r="209" spans="1:5" x14ac:dyDescent="0.3">
      <c r="A209" s="3"/>
      <c r="B209" s="3"/>
      <c r="C209" s="3"/>
      <c r="D209" s="5" t="str">
        <f t="shared" si="3"/>
        <v/>
      </c>
      <c r="E209" s="3"/>
    </row>
    <row r="210" spans="1:5" x14ac:dyDescent="0.3">
      <c r="A210" s="3"/>
      <c r="B210" s="3"/>
      <c r="C210" s="3"/>
      <c r="D210" s="5" t="str">
        <f t="shared" si="3"/>
        <v/>
      </c>
      <c r="E210" s="3"/>
    </row>
    <row r="211" spans="1:5" x14ac:dyDescent="0.3">
      <c r="A211" s="3"/>
      <c r="B211" s="3"/>
      <c r="C211" s="3"/>
      <c r="D211" s="5" t="str">
        <f t="shared" si="3"/>
        <v/>
      </c>
      <c r="E211" s="3"/>
    </row>
    <row r="212" spans="1:5" x14ac:dyDescent="0.3">
      <c r="A212" s="3"/>
      <c r="B212" s="3"/>
      <c r="C212" s="3"/>
      <c r="D212" s="5" t="str">
        <f t="shared" si="3"/>
        <v/>
      </c>
      <c r="E212" s="3"/>
    </row>
    <row r="213" spans="1:5" x14ac:dyDescent="0.3">
      <c r="A213" s="3"/>
      <c r="B213" s="3"/>
      <c r="C213" s="3"/>
      <c r="D213" s="5" t="str">
        <f t="shared" si="3"/>
        <v/>
      </c>
      <c r="E213" s="3"/>
    </row>
    <row r="214" spans="1:5" x14ac:dyDescent="0.3">
      <c r="A214" s="3"/>
      <c r="B214" s="3"/>
      <c r="C214" s="3"/>
      <c r="D214" s="5" t="str">
        <f t="shared" si="3"/>
        <v/>
      </c>
      <c r="E214" s="3"/>
    </row>
    <row r="215" spans="1:5" x14ac:dyDescent="0.3">
      <c r="A215" s="3"/>
      <c r="B215" s="3"/>
      <c r="C215" s="3"/>
      <c r="D215" s="5" t="str">
        <f t="shared" si="3"/>
        <v/>
      </c>
      <c r="E215" s="3"/>
    </row>
    <row r="216" spans="1:5" x14ac:dyDescent="0.3">
      <c r="A216" s="3"/>
      <c r="B216" s="3"/>
      <c r="C216" s="3"/>
      <c r="D216" s="5" t="str">
        <f t="shared" si="3"/>
        <v/>
      </c>
      <c r="E216" s="3"/>
    </row>
    <row r="217" spans="1:5" x14ac:dyDescent="0.3">
      <c r="A217" s="3"/>
      <c r="B217" s="3"/>
      <c r="C217" s="3"/>
      <c r="D217" s="5" t="str">
        <f t="shared" si="3"/>
        <v/>
      </c>
      <c r="E217" s="3"/>
    </row>
    <row r="218" spans="1:5" x14ac:dyDescent="0.3">
      <c r="A218" s="3"/>
      <c r="B218" s="3"/>
      <c r="C218" s="3"/>
      <c r="D218" s="5" t="str">
        <f t="shared" si="3"/>
        <v/>
      </c>
      <c r="E218" s="3"/>
    </row>
    <row r="219" spans="1:5" x14ac:dyDescent="0.3">
      <c r="A219" s="3"/>
      <c r="B219" s="3"/>
      <c r="C219" s="3"/>
      <c r="D219" s="5" t="str">
        <f t="shared" si="3"/>
        <v/>
      </c>
      <c r="E219" s="3"/>
    </row>
    <row r="220" spans="1:5" x14ac:dyDescent="0.3">
      <c r="A220" s="3"/>
      <c r="B220" s="3"/>
      <c r="C220" s="3"/>
      <c r="D220" s="5" t="str">
        <f t="shared" si="3"/>
        <v/>
      </c>
      <c r="E220" s="3"/>
    </row>
    <row r="221" spans="1:5" x14ac:dyDescent="0.3">
      <c r="A221" s="3"/>
      <c r="B221" s="3"/>
      <c r="C221" s="3"/>
      <c r="D221" s="5" t="str">
        <f t="shared" si="3"/>
        <v/>
      </c>
      <c r="E221" s="3"/>
    </row>
    <row r="222" spans="1:5" x14ac:dyDescent="0.3">
      <c r="A222" s="3"/>
      <c r="B222" s="3"/>
      <c r="C222" s="3"/>
      <c r="D222" s="5" t="str">
        <f t="shared" si="3"/>
        <v/>
      </c>
      <c r="E222" s="3"/>
    </row>
    <row r="223" spans="1:5" x14ac:dyDescent="0.3">
      <c r="A223" s="3"/>
      <c r="B223" s="3"/>
      <c r="C223" s="3"/>
      <c r="D223" s="5" t="str">
        <f t="shared" si="3"/>
        <v/>
      </c>
      <c r="E223" s="3"/>
    </row>
    <row r="224" spans="1:5" x14ac:dyDescent="0.3">
      <c r="A224" s="3"/>
      <c r="B224" s="3"/>
      <c r="C224" s="3"/>
      <c r="D224" s="5" t="str">
        <f t="shared" si="3"/>
        <v/>
      </c>
      <c r="E224" s="3"/>
    </row>
    <row r="225" spans="1:5" x14ac:dyDescent="0.3">
      <c r="A225" s="3"/>
      <c r="B225" s="3"/>
      <c r="C225" s="3"/>
      <c r="D225" s="5" t="str">
        <f t="shared" si="3"/>
        <v/>
      </c>
      <c r="E225" s="3"/>
    </row>
    <row r="226" spans="1:5" x14ac:dyDescent="0.3">
      <c r="A226" s="3"/>
      <c r="B226" s="3"/>
      <c r="C226" s="3"/>
      <c r="D226" s="5" t="str">
        <f t="shared" si="3"/>
        <v/>
      </c>
      <c r="E226" s="3"/>
    </row>
    <row r="227" spans="1:5" x14ac:dyDescent="0.3">
      <c r="A227" s="3"/>
      <c r="B227" s="3"/>
      <c r="C227" s="3"/>
      <c r="D227" s="5" t="str">
        <f t="shared" si="3"/>
        <v/>
      </c>
      <c r="E227" s="3"/>
    </row>
    <row r="228" spans="1:5" x14ac:dyDescent="0.3">
      <c r="A228" s="3"/>
      <c r="B228" s="3"/>
      <c r="C228" s="3"/>
      <c r="D228" s="5" t="str">
        <f t="shared" si="3"/>
        <v/>
      </c>
      <c r="E228" s="3"/>
    </row>
    <row r="229" spans="1:5" x14ac:dyDescent="0.3">
      <c r="A229" s="3"/>
      <c r="B229" s="3"/>
      <c r="C229" s="3"/>
      <c r="D229" s="5" t="str">
        <f t="shared" si="3"/>
        <v/>
      </c>
      <c r="E229" s="3"/>
    </row>
    <row r="230" spans="1:5" x14ac:dyDescent="0.3">
      <c r="A230" s="3"/>
      <c r="B230" s="3"/>
      <c r="C230" s="3"/>
      <c r="D230" s="5" t="str">
        <f t="shared" si="3"/>
        <v/>
      </c>
      <c r="E230" s="3"/>
    </row>
    <row r="231" spans="1:5" x14ac:dyDescent="0.3">
      <c r="A231" s="3"/>
      <c r="B231" s="3"/>
      <c r="C231" s="3"/>
      <c r="D231" s="5" t="str">
        <f t="shared" si="3"/>
        <v/>
      </c>
      <c r="E231" s="3"/>
    </row>
    <row r="232" spans="1:5" x14ac:dyDescent="0.3">
      <c r="A232" s="3"/>
      <c r="B232" s="3"/>
      <c r="C232" s="3"/>
      <c r="D232" s="5" t="str">
        <f t="shared" si="3"/>
        <v/>
      </c>
      <c r="E232" s="3"/>
    </row>
    <row r="233" spans="1:5" x14ac:dyDescent="0.3">
      <c r="A233" s="3"/>
      <c r="B233" s="3"/>
      <c r="C233" s="3"/>
      <c r="D233" s="5" t="str">
        <f t="shared" si="3"/>
        <v/>
      </c>
      <c r="E233" s="3"/>
    </row>
    <row r="234" spans="1:5" x14ac:dyDescent="0.3">
      <c r="A234" s="3"/>
      <c r="B234" s="3"/>
      <c r="C234" s="3"/>
      <c r="D234" s="5" t="str">
        <f t="shared" si="3"/>
        <v/>
      </c>
      <c r="E234" s="3"/>
    </row>
    <row r="235" spans="1:5" x14ac:dyDescent="0.3">
      <c r="A235" s="3"/>
      <c r="B235" s="3"/>
      <c r="C235" s="3"/>
      <c r="D235" s="5" t="str">
        <f t="shared" si="3"/>
        <v/>
      </c>
      <c r="E235" s="3"/>
    </row>
    <row r="236" spans="1:5" x14ac:dyDescent="0.3">
      <c r="A236" s="3"/>
      <c r="B236" s="3"/>
      <c r="C236" s="3"/>
      <c r="D236" s="5" t="str">
        <f t="shared" si="3"/>
        <v/>
      </c>
      <c r="E236" s="3"/>
    </row>
    <row r="237" spans="1:5" x14ac:dyDescent="0.3">
      <c r="A237" s="3"/>
      <c r="B237" s="3"/>
      <c r="C237" s="3"/>
      <c r="D237" s="5" t="str">
        <f t="shared" si="3"/>
        <v/>
      </c>
      <c r="E237" s="3"/>
    </row>
    <row r="238" spans="1:5" x14ac:dyDescent="0.3">
      <c r="A238" s="3"/>
      <c r="B238" s="3"/>
      <c r="C238" s="3"/>
      <c r="D238" s="5" t="str">
        <f t="shared" si="3"/>
        <v/>
      </c>
      <c r="E238" s="3"/>
    </row>
    <row r="239" spans="1:5" x14ac:dyDescent="0.3">
      <c r="A239" s="3"/>
      <c r="B239" s="3"/>
      <c r="C239" s="3"/>
      <c r="D239" s="5" t="str">
        <f t="shared" si="3"/>
        <v/>
      </c>
      <c r="E239" s="3"/>
    </row>
    <row r="240" spans="1:5" x14ac:dyDescent="0.3">
      <c r="A240" s="3"/>
      <c r="B240" s="3"/>
      <c r="C240" s="3"/>
      <c r="D240" s="5" t="str">
        <f t="shared" si="3"/>
        <v/>
      </c>
      <c r="E240" s="3"/>
    </row>
    <row r="241" spans="1:5" x14ac:dyDescent="0.3">
      <c r="A241" s="3"/>
      <c r="B241" s="3"/>
      <c r="C241" s="3"/>
      <c r="D241" s="5" t="str">
        <f t="shared" si="3"/>
        <v/>
      </c>
      <c r="E241" s="3"/>
    </row>
    <row r="242" spans="1:5" x14ac:dyDescent="0.3">
      <c r="A242" s="3"/>
      <c r="B242" s="3"/>
      <c r="C242" s="3"/>
      <c r="D242" s="5" t="str">
        <f t="shared" si="3"/>
        <v/>
      </c>
      <c r="E242" s="3"/>
    </row>
    <row r="243" spans="1:5" x14ac:dyDescent="0.3">
      <c r="A243" s="3"/>
      <c r="B243" s="3"/>
      <c r="C243" s="3"/>
      <c r="D243" s="5" t="str">
        <f t="shared" si="3"/>
        <v/>
      </c>
      <c r="E243" s="3"/>
    </row>
    <row r="244" spans="1:5" x14ac:dyDescent="0.3">
      <c r="A244" s="3"/>
      <c r="B244" s="3"/>
      <c r="C244" s="3"/>
      <c r="D244" s="5" t="str">
        <f t="shared" si="3"/>
        <v/>
      </c>
      <c r="E244" s="3"/>
    </row>
    <row r="245" spans="1:5" x14ac:dyDescent="0.3">
      <c r="A245" s="3"/>
      <c r="B245" s="3"/>
      <c r="C245" s="3"/>
      <c r="D245" s="5" t="str">
        <f t="shared" si="3"/>
        <v/>
      </c>
      <c r="E245" s="3"/>
    </row>
    <row r="246" spans="1:5" x14ac:dyDescent="0.3">
      <c r="A246" s="3"/>
      <c r="B246" s="3"/>
      <c r="C246" s="3"/>
      <c r="D246" s="5" t="str">
        <f t="shared" si="3"/>
        <v/>
      </c>
      <c r="E246" s="3"/>
    </row>
    <row r="247" spans="1:5" x14ac:dyDescent="0.3">
      <c r="A247" s="3"/>
      <c r="B247" s="3"/>
      <c r="C247" s="3"/>
      <c r="D247" s="5" t="str">
        <f t="shared" si="3"/>
        <v/>
      </c>
      <c r="E247" s="3"/>
    </row>
    <row r="248" spans="1:5" x14ac:dyDescent="0.3">
      <c r="A248" s="3"/>
      <c r="B248" s="3"/>
      <c r="C248" s="3"/>
      <c r="D248" s="5" t="str">
        <f t="shared" si="3"/>
        <v/>
      </c>
      <c r="E248" s="3"/>
    </row>
    <row r="249" spans="1:5" x14ac:dyDescent="0.3">
      <c r="A249" s="3"/>
      <c r="B249" s="3"/>
      <c r="C249" s="3"/>
      <c r="D249" s="5" t="str">
        <f t="shared" si="3"/>
        <v/>
      </c>
      <c r="E249" s="3"/>
    </row>
    <row r="250" spans="1:5" x14ac:dyDescent="0.3">
      <c r="A250" s="3"/>
      <c r="B250" s="3"/>
      <c r="C250" s="3"/>
      <c r="D250" s="5" t="str">
        <f t="shared" si="3"/>
        <v/>
      </c>
      <c r="E250" s="3"/>
    </row>
    <row r="251" spans="1:5" x14ac:dyDescent="0.3">
      <c r="A251" s="3"/>
      <c r="B251" s="3"/>
      <c r="C251" s="3"/>
      <c r="D251" s="5" t="str">
        <f t="shared" si="3"/>
        <v/>
      </c>
      <c r="E251" s="3"/>
    </row>
    <row r="252" spans="1:5" x14ac:dyDescent="0.3">
      <c r="A252" s="3"/>
      <c r="B252" s="3"/>
      <c r="C252" s="3"/>
      <c r="D252" s="5" t="str">
        <f t="shared" si="3"/>
        <v/>
      </c>
      <c r="E252" s="3"/>
    </row>
    <row r="253" spans="1:5" x14ac:dyDescent="0.3">
      <c r="A253" s="3"/>
      <c r="B253" s="3"/>
      <c r="C253" s="3"/>
      <c r="D253" s="5" t="str">
        <f t="shared" si="3"/>
        <v/>
      </c>
      <c r="E253" s="3"/>
    </row>
    <row r="254" spans="1:5" x14ac:dyDescent="0.3">
      <c r="A254" s="3"/>
      <c r="B254" s="3"/>
      <c r="C254" s="3"/>
      <c r="D254" s="5" t="str">
        <f t="shared" si="3"/>
        <v/>
      </c>
      <c r="E254" s="3"/>
    </row>
    <row r="255" spans="1:5" x14ac:dyDescent="0.3">
      <c r="A255" s="3"/>
      <c r="B255" s="3"/>
      <c r="C255" s="3"/>
      <c r="D255" s="5" t="str">
        <f t="shared" si="3"/>
        <v/>
      </c>
      <c r="E255" s="3"/>
    </row>
    <row r="256" spans="1:5" x14ac:dyDescent="0.3">
      <c r="A256" s="3"/>
      <c r="B256" s="3"/>
      <c r="C256" s="3"/>
      <c r="D256" s="5" t="str">
        <f t="shared" si="3"/>
        <v/>
      </c>
      <c r="E256" s="3"/>
    </row>
    <row r="257" spans="1:5" x14ac:dyDescent="0.3">
      <c r="A257" s="3"/>
      <c r="B257" s="3"/>
      <c r="C257" s="3"/>
      <c r="D257" s="5" t="str">
        <f t="shared" si="3"/>
        <v/>
      </c>
      <c r="E257" s="3"/>
    </row>
    <row r="258" spans="1:5" x14ac:dyDescent="0.3">
      <c r="A258" s="3"/>
      <c r="B258" s="3"/>
      <c r="C258" s="3"/>
      <c r="D258" s="5" t="str">
        <f t="shared" ref="D258:D290" si="4">IF(AND(A258 &lt;&gt; "", B258 &lt;&gt; ""), _xlfn.CONCAT(A258, ".Containers.", SUBSTITUTE(SUBSTITUTE(SUBSTITUTE(SUBSTITUTE(SUBSTITUTE(B258,")",""),"(",""),"&amp;","And"),"-","")," ","")), "")</f>
        <v/>
      </c>
      <c r="E258" s="3"/>
    </row>
    <row r="259" spans="1:5" x14ac:dyDescent="0.3">
      <c r="A259" s="3"/>
      <c r="B259" s="3"/>
      <c r="C259" s="3"/>
      <c r="D259" s="5" t="str">
        <f t="shared" si="4"/>
        <v/>
      </c>
      <c r="E259" s="3"/>
    </row>
    <row r="260" spans="1:5" x14ac:dyDescent="0.3">
      <c r="A260" s="3"/>
      <c r="B260" s="3"/>
      <c r="C260" s="3"/>
      <c r="D260" s="5" t="str">
        <f t="shared" si="4"/>
        <v/>
      </c>
      <c r="E260" s="3"/>
    </row>
    <row r="261" spans="1:5" x14ac:dyDescent="0.3">
      <c r="A261" s="3"/>
      <c r="B261" s="3"/>
      <c r="C261" s="3"/>
      <c r="D261" s="5" t="str">
        <f t="shared" si="4"/>
        <v/>
      </c>
      <c r="E261" s="3"/>
    </row>
    <row r="262" spans="1:5" x14ac:dyDescent="0.3">
      <c r="A262" s="3"/>
      <c r="B262" s="3"/>
      <c r="C262" s="3"/>
      <c r="D262" s="5" t="str">
        <f t="shared" si="4"/>
        <v/>
      </c>
      <c r="E262" s="3"/>
    </row>
    <row r="263" spans="1:5" x14ac:dyDescent="0.3">
      <c r="A263" s="3"/>
      <c r="B263" s="3"/>
      <c r="C263" s="3"/>
      <c r="D263" s="5" t="str">
        <f t="shared" si="4"/>
        <v/>
      </c>
      <c r="E263" s="3"/>
    </row>
    <row r="264" spans="1:5" x14ac:dyDescent="0.3">
      <c r="A264" s="3"/>
      <c r="B264" s="3"/>
      <c r="C264" s="3"/>
      <c r="D264" s="5" t="str">
        <f t="shared" si="4"/>
        <v/>
      </c>
      <c r="E264" s="3"/>
    </row>
    <row r="265" spans="1:5" x14ac:dyDescent="0.3">
      <c r="A265" s="3"/>
      <c r="B265" s="3"/>
      <c r="C265" s="3"/>
      <c r="D265" s="5" t="str">
        <f t="shared" si="4"/>
        <v/>
      </c>
      <c r="E265" s="3"/>
    </row>
    <row r="266" spans="1:5" x14ac:dyDescent="0.3">
      <c r="A266" s="3"/>
      <c r="B266" s="3"/>
      <c r="C266" s="3"/>
      <c r="D266" s="5" t="str">
        <f t="shared" si="4"/>
        <v/>
      </c>
      <c r="E266" s="3"/>
    </row>
    <row r="267" spans="1:5" x14ac:dyDescent="0.3">
      <c r="A267" s="3"/>
      <c r="B267" s="3"/>
      <c r="C267" s="3"/>
      <c r="D267" s="5" t="str">
        <f t="shared" si="4"/>
        <v/>
      </c>
      <c r="E267" s="3"/>
    </row>
    <row r="268" spans="1:5" x14ac:dyDescent="0.3">
      <c r="A268" s="3"/>
      <c r="B268" s="3"/>
      <c r="C268" s="3"/>
      <c r="D268" s="5" t="str">
        <f t="shared" si="4"/>
        <v/>
      </c>
      <c r="E268" s="3"/>
    </row>
    <row r="269" spans="1:5" x14ac:dyDescent="0.3">
      <c r="A269" s="3"/>
      <c r="B269" s="3"/>
      <c r="C269" s="3"/>
      <c r="D269" s="5" t="str">
        <f t="shared" si="4"/>
        <v/>
      </c>
      <c r="E269" s="3"/>
    </row>
    <row r="270" spans="1:5" x14ac:dyDescent="0.3">
      <c r="A270" s="3"/>
      <c r="B270" s="3"/>
      <c r="C270" s="3"/>
      <c r="D270" s="5" t="str">
        <f t="shared" si="4"/>
        <v/>
      </c>
      <c r="E270" s="3"/>
    </row>
    <row r="271" spans="1:5" x14ac:dyDescent="0.3">
      <c r="A271" s="3"/>
      <c r="B271" s="3"/>
      <c r="C271" s="3"/>
      <c r="D271" s="5" t="str">
        <f t="shared" si="4"/>
        <v/>
      </c>
      <c r="E271" s="3"/>
    </row>
    <row r="272" spans="1:5" x14ac:dyDescent="0.3">
      <c r="A272" s="3"/>
      <c r="B272" s="3"/>
      <c r="C272" s="3"/>
      <c r="D272" s="5" t="str">
        <f t="shared" si="4"/>
        <v/>
      </c>
      <c r="E272" s="3"/>
    </row>
    <row r="273" spans="1:5" x14ac:dyDescent="0.3">
      <c r="A273" s="3"/>
      <c r="B273" s="3"/>
      <c r="C273" s="3"/>
      <c r="D273" s="5" t="str">
        <f t="shared" si="4"/>
        <v/>
      </c>
      <c r="E273" s="3"/>
    </row>
    <row r="274" spans="1:5" x14ac:dyDescent="0.3">
      <c r="A274" s="3"/>
      <c r="B274" s="3"/>
      <c r="C274" s="3"/>
      <c r="D274" s="5" t="str">
        <f t="shared" si="4"/>
        <v/>
      </c>
      <c r="E274" s="3"/>
    </row>
    <row r="275" spans="1:5" x14ac:dyDescent="0.3">
      <c r="A275" s="3"/>
      <c r="B275" s="3"/>
      <c r="C275" s="3"/>
      <c r="D275" s="5" t="str">
        <f t="shared" si="4"/>
        <v/>
      </c>
      <c r="E275" s="3"/>
    </row>
    <row r="276" spans="1:5" x14ac:dyDescent="0.3">
      <c r="A276" s="3"/>
      <c r="B276" s="3"/>
      <c r="C276" s="3"/>
      <c r="D276" s="5" t="str">
        <f t="shared" si="4"/>
        <v/>
      </c>
      <c r="E276" s="3"/>
    </row>
    <row r="277" spans="1:5" x14ac:dyDescent="0.3">
      <c r="A277" s="3"/>
      <c r="B277" s="3"/>
      <c r="C277" s="3"/>
      <c r="D277" s="5" t="str">
        <f t="shared" si="4"/>
        <v/>
      </c>
      <c r="E277" s="3"/>
    </row>
    <row r="278" spans="1:5" x14ac:dyDescent="0.3">
      <c r="A278" s="3"/>
      <c r="B278" s="3"/>
      <c r="C278" s="3"/>
      <c r="D278" s="5" t="str">
        <f t="shared" si="4"/>
        <v/>
      </c>
      <c r="E278" s="3"/>
    </row>
    <row r="279" spans="1:5" x14ac:dyDescent="0.3">
      <c r="A279" s="3"/>
      <c r="B279" s="3"/>
      <c r="C279" s="3"/>
      <c r="D279" s="5" t="str">
        <f t="shared" si="4"/>
        <v/>
      </c>
      <c r="E279" s="3"/>
    </row>
    <row r="280" spans="1:5" x14ac:dyDescent="0.3">
      <c r="A280" s="3"/>
      <c r="B280" s="3"/>
      <c r="C280" s="3"/>
      <c r="D280" s="5" t="str">
        <f t="shared" si="4"/>
        <v/>
      </c>
      <c r="E280" s="3"/>
    </row>
    <row r="281" spans="1:5" x14ac:dyDescent="0.3">
      <c r="A281" s="3"/>
      <c r="B281" s="3"/>
      <c r="C281" s="3"/>
      <c r="D281" s="5" t="str">
        <f t="shared" si="4"/>
        <v/>
      </c>
      <c r="E281" s="3"/>
    </row>
    <row r="282" spans="1:5" x14ac:dyDescent="0.3">
      <c r="A282" s="3"/>
      <c r="B282" s="3"/>
      <c r="C282" s="3"/>
      <c r="D282" s="5" t="str">
        <f t="shared" si="4"/>
        <v/>
      </c>
      <c r="E282" s="3"/>
    </row>
    <row r="283" spans="1:5" x14ac:dyDescent="0.3">
      <c r="A283" s="3"/>
      <c r="B283" s="3"/>
      <c r="C283" s="3"/>
      <c r="D283" s="5" t="str">
        <f t="shared" si="4"/>
        <v/>
      </c>
      <c r="E283" s="3"/>
    </row>
    <row r="284" spans="1:5" x14ac:dyDescent="0.3">
      <c r="A284" s="3"/>
      <c r="B284" s="3"/>
      <c r="C284" s="3"/>
      <c r="D284" s="5" t="str">
        <f t="shared" si="4"/>
        <v/>
      </c>
      <c r="E284" s="3"/>
    </row>
    <row r="285" spans="1:5" x14ac:dyDescent="0.3">
      <c r="A285" s="3"/>
      <c r="B285" s="3"/>
      <c r="C285" s="3"/>
      <c r="D285" s="5" t="str">
        <f t="shared" si="4"/>
        <v/>
      </c>
      <c r="E285" s="3"/>
    </row>
    <row r="286" spans="1:5" x14ac:dyDescent="0.3">
      <c r="A286" s="3"/>
      <c r="B286" s="3"/>
      <c r="C286" s="3"/>
      <c r="D286" s="5" t="str">
        <f t="shared" si="4"/>
        <v/>
      </c>
      <c r="E286" s="3"/>
    </row>
    <row r="287" spans="1:5" x14ac:dyDescent="0.3">
      <c r="A287" s="3"/>
      <c r="B287" s="3"/>
      <c r="C287" s="3"/>
      <c r="D287" s="5" t="str">
        <f t="shared" si="4"/>
        <v/>
      </c>
      <c r="E287" s="3"/>
    </row>
    <row r="288" spans="1:5" x14ac:dyDescent="0.3">
      <c r="A288" s="3"/>
      <c r="B288" s="3"/>
      <c r="C288" s="3"/>
      <c r="D288" s="5" t="str">
        <f t="shared" si="4"/>
        <v/>
      </c>
      <c r="E288" s="3"/>
    </row>
    <row r="289" spans="1:5" x14ac:dyDescent="0.3">
      <c r="A289" s="3"/>
      <c r="B289" s="3"/>
      <c r="C289" s="3"/>
      <c r="D289" s="5" t="str">
        <f t="shared" si="4"/>
        <v/>
      </c>
      <c r="E289" s="3"/>
    </row>
    <row r="290" spans="1:5" x14ac:dyDescent="0.3">
      <c r="A290" s="3"/>
      <c r="B290" s="3"/>
      <c r="C290" s="3"/>
      <c r="D290" s="5" t="str">
        <f t="shared" si="4"/>
        <v/>
      </c>
      <c r="E290" s="3"/>
    </row>
    <row r="291" spans="1:5" x14ac:dyDescent="0.3">
      <c r="A291" s="3"/>
      <c r="B291" s="3"/>
      <c r="C291" s="3"/>
      <c r="D291" s="5"/>
      <c r="E291" s="3"/>
    </row>
    <row r="292" spans="1:5" x14ac:dyDescent="0.3">
      <c r="A292" s="3"/>
      <c r="B292" s="3"/>
      <c r="C292" s="3"/>
      <c r="D292" s="5"/>
      <c r="E292" s="3"/>
    </row>
  </sheetData>
  <autoFilter ref="A1:D290" xr:uid="{81A3CA32-F282-4275-8641-6A53F008E46F}"/>
  <sortState xmlns:xlrd2="http://schemas.microsoft.com/office/spreadsheetml/2017/richdata2" ref="A2:D290">
    <sortCondition ref="A2"/>
  </sortState>
  <conditionalFormatting sqref="D2:D292">
    <cfRule type="containsBlanks" priority="67" stopIfTrue="1">
      <formula>LEN(TRIM(D2))=0</formula>
    </cfRule>
    <cfRule type="duplicateValues" dxfId="4" priority="68"/>
  </conditionalFormatting>
  <dataValidations count="1">
    <dataValidation type="list" allowBlank="1" showInputMessage="1" showErrorMessage="1" sqref="C2:C292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Systems'!$C$2:$C$280</xm:f>
          </x14:formula1>
          <xm:sqref>A2:A292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sqref="A1:A1048576"/>
    </sheetView>
  </sheetViews>
  <sheetFormatPr defaultColWidth="16.109375" defaultRowHeight="14.4" x14ac:dyDescent="0.3"/>
  <cols>
    <col min="1" max="1" width="41.109375" customWidth="1"/>
  </cols>
  <sheetData>
    <row r="1" spans="1:3" x14ac:dyDescent="0.3">
      <c r="A1" s="7" t="s">
        <v>38</v>
      </c>
      <c r="B1" s="7" t="s">
        <v>43</v>
      </c>
      <c r="C1" s="2" t="s">
        <v>44</v>
      </c>
    </row>
    <row r="2" spans="1:3" x14ac:dyDescent="0.3">
      <c r="A2" t="s">
        <v>134</v>
      </c>
      <c r="B2" s="8" t="s">
        <v>115</v>
      </c>
      <c r="C2" s="3" t="s">
        <v>116</v>
      </c>
    </row>
    <row r="3" spans="1:3" x14ac:dyDescent="0.3">
      <c r="A3" s="8" t="s">
        <v>135</v>
      </c>
      <c r="B3" s="8" t="s">
        <v>115</v>
      </c>
      <c r="C3" s="3" t="s">
        <v>116</v>
      </c>
    </row>
    <row r="4" spans="1:3" x14ac:dyDescent="0.3">
      <c r="A4" s="8" t="s">
        <v>128</v>
      </c>
      <c r="B4" s="8" t="s">
        <v>115</v>
      </c>
      <c r="C4" s="3" t="s">
        <v>116</v>
      </c>
    </row>
    <row r="5" spans="1:3" x14ac:dyDescent="0.3">
      <c r="A5" s="8" t="s">
        <v>132</v>
      </c>
      <c r="B5" s="8" t="s">
        <v>115</v>
      </c>
      <c r="C5" s="3" t="s">
        <v>116</v>
      </c>
    </row>
    <row r="6" spans="1:3" x14ac:dyDescent="0.3">
      <c r="A6" s="8" t="s">
        <v>129</v>
      </c>
      <c r="B6" s="8" t="s">
        <v>115</v>
      </c>
      <c r="C6" s="3" t="s">
        <v>116</v>
      </c>
    </row>
    <row r="7" spans="1:3" x14ac:dyDescent="0.3">
      <c r="A7" s="8" t="s">
        <v>133</v>
      </c>
      <c r="B7" s="8" t="s">
        <v>115</v>
      </c>
      <c r="C7" s="3" t="s">
        <v>116</v>
      </c>
    </row>
    <row r="8" spans="1:3" x14ac:dyDescent="0.3">
      <c r="A8" s="8" t="s">
        <v>130</v>
      </c>
      <c r="B8" s="8" t="s">
        <v>115</v>
      </c>
      <c r="C8" s="3" t="s">
        <v>116</v>
      </c>
    </row>
    <row r="9" spans="1:3" x14ac:dyDescent="0.3">
      <c r="A9" s="8" t="s">
        <v>131</v>
      </c>
      <c r="B9" s="8" t="s">
        <v>115</v>
      </c>
      <c r="C9" s="3" t="s">
        <v>116</v>
      </c>
    </row>
    <row r="10" spans="1:3" x14ac:dyDescent="0.3">
      <c r="A10" s="8" t="s">
        <v>126</v>
      </c>
      <c r="B10" s="8" t="s">
        <v>115</v>
      </c>
      <c r="C10" s="3" t="s">
        <v>116</v>
      </c>
    </row>
    <row r="11" spans="1:3" x14ac:dyDescent="0.3">
      <c r="A11" s="8" t="s">
        <v>127</v>
      </c>
      <c r="B11" s="8" t="s">
        <v>115</v>
      </c>
      <c r="C11" s="3" t="s">
        <v>116</v>
      </c>
    </row>
    <row r="12" spans="1:3" x14ac:dyDescent="0.3">
      <c r="A12" s="8" t="s">
        <v>96</v>
      </c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Containers!$D$2:$D$292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42"/>
  <sheetViews>
    <sheetView workbookViewId="0">
      <pane ySplit="1" topLeftCell="A22" activePane="bottomLeft" state="frozen"/>
      <selection pane="bottomLeft" activeCell="B45" sqref="B45"/>
    </sheetView>
  </sheetViews>
  <sheetFormatPr defaultColWidth="8.6640625" defaultRowHeight="14.4" x14ac:dyDescent="0.3"/>
  <cols>
    <col min="1" max="1" width="35.88671875" bestFit="1" customWidth="1"/>
    <col min="2" max="2" width="33.88671875" bestFit="1" customWidth="1"/>
    <col min="3" max="3" width="66.5546875" bestFit="1" customWidth="1"/>
    <col min="4" max="5" width="12.4414062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45</v>
      </c>
      <c r="E1" s="2" t="s">
        <v>118</v>
      </c>
    </row>
    <row r="2" spans="1:5" x14ac:dyDescent="0.3">
      <c r="A2" s="3" t="s">
        <v>126</v>
      </c>
      <c r="B2" s="3" t="s">
        <v>89</v>
      </c>
      <c r="C2" s="5" t="str">
        <f t="shared" ref="C2:C65" si="0">IF(AND(A2 &lt;&gt; "", B2 &lt;&gt; ""), _xlfn.CONCAT(A2, ".Interfaces.", SUBSTITUTE(SUBSTITUTE(SUBSTITUTE(SUBSTITUTE(SUBSTITUTE(SUBSTITUTE(B2, "/",  "And"),")",""),"(",""),"&amp;","And"),"-","")," ","")), "")</f>
        <v>TraderX.Containers.AccountsService.Interfaces.GetAccounts</v>
      </c>
      <c r="D2" s="3"/>
      <c r="E2" s="3" t="s">
        <v>119</v>
      </c>
    </row>
    <row r="3" spans="1:5" x14ac:dyDescent="0.3">
      <c r="A3" s="3" t="s">
        <v>126</v>
      </c>
      <c r="B3" s="3" t="s">
        <v>90</v>
      </c>
      <c r="C3" s="5" t="str">
        <f t="shared" si="0"/>
        <v>TraderX.Containers.AccountsService.Interfaces.CreateAccount</v>
      </c>
      <c r="D3" s="3"/>
      <c r="E3" s="3" t="s">
        <v>119</v>
      </c>
    </row>
    <row r="4" spans="1:5" x14ac:dyDescent="0.3">
      <c r="A4" s="3" t="s">
        <v>126</v>
      </c>
      <c r="B4" s="3" t="s">
        <v>91</v>
      </c>
      <c r="C4" s="5" t="str">
        <f t="shared" si="0"/>
        <v>TraderX.Containers.AccountsService.Interfaces.UpdateAccount</v>
      </c>
      <c r="D4" s="3"/>
      <c r="E4" s="3" t="s">
        <v>119</v>
      </c>
    </row>
    <row r="5" spans="1:5" x14ac:dyDescent="0.3">
      <c r="A5" s="3" t="s">
        <v>126</v>
      </c>
      <c r="B5" s="3" t="s">
        <v>95</v>
      </c>
      <c r="C5" s="5" t="str">
        <f t="shared" si="0"/>
        <v>TraderX.Containers.AccountsService.Interfaces.ValidateAccounts</v>
      </c>
      <c r="D5" s="3"/>
      <c r="E5" s="3" t="s">
        <v>119</v>
      </c>
    </row>
    <row r="6" spans="1:5" x14ac:dyDescent="0.3">
      <c r="A6" s="3" t="s">
        <v>127</v>
      </c>
      <c r="B6" s="3" t="s">
        <v>92</v>
      </c>
      <c r="C6" s="5" t="str">
        <f t="shared" si="0"/>
        <v>TraderX.Containers.PeopleService.Interfaces.GetPeopleData</v>
      </c>
      <c r="D6" s="3"/>
      <c r="E6" s="3" t="s">
        <v>119</v>
      </c>
    </row>
    <row r="7" spans="1:5" x14ac:dyDescent="0.3">
      <c r="A7" s="3" t="s">
        <v>128</v>
      </c>
      <c r="B7" s="3" t="s">
        <v>76</v>
      </c>
      <c r="C7" s="5" t="str">
        <f t="shared" si="0"/>
        <v>TraderX.Containers.PositionService.Interfaces.GetPositionsForAccount</v>
      </c>
      <c r="D7" s="3"/>
      <c r="E7" s="3" t="s">
        <v>119</v>
      </c>
    </row>
    <row r="8" spans="1:5" x14ac:dyDescent="0.3">
      <c r="A8" s="3" t="s">
        <v>128</v>
      </c>
      <c r="B8" s="3" t="s">
        <v>77</v>
      </c>
      <c r="C8" s="5" t="str">
        <f t="shared" si="0"/>
        <v>TraderX.Containers.PositionService.Interfaces.GetTradesForAccount</v>
      </c>
      <c r="D8" s="3"/>
      <c r="E8" s="3" t="s">
        <v>119</v>
      </c>
    </row>
    <row r="9" spans="1:5" x14ac:dyDescent="0.3">
      <c r="A9" s="3" t="s">
        <v>129</v>
      </c>
      <c r="B9" s="3" t="s">
        <v>125</v>
      </c>
      <c r="C9" s="5" t="str">
        <f t="shared" si="0"/>
        <v>TraderX.Containers.ReferenceDataService.Interfaces.GetSecurities</v>
      </c>
      <c r="D9" s="3"/>
      <c r="E9" s="3" t="s">
        <v>119</v>
      </c>
    </row>
    <row r="10" spans="1:5" x14ac:dyDescent="0.3">
      <c r="A10" s="3" t="s">
        <v>129</v>
      </c>
      <c r="B10" s="3" t="s">
        <v>94</v>
      </c>
      <c r="C10" s="5" t="str">
        <f t="shared" si="0"/>
        <v>TraderX.Containers.ReferenceDataService.Interfaces.ValidateSecurities</v>
      </c>
      <c r="D10" s="3"/>
      <c r="E10" s="3" t="s">
        <v>119</v>
      </c>
    </row>
    <row r="11" spans="1:5" x14ac:dyDescent="0.3">
      <c r="A11" s="3" t="s">
        <v>130</v>
      </c>
      <c r="B11" s="3" t="s">
        <v>82</v>
      </c>
      <c r="C11" s="5" t="str">
        <f t="shared" si="0"/>
        <v>TraderX.Containers.TradeFeed.Interfaces.SendUpdatesToTrades</v>
      </c>
      <c r="D11" s="3"/>
      <c r="E11" s="3" t="s">
        <v>121</v>
      </c>
    </row>
    <row r="12" spans="1:5" x14ac:dyDescent="0.3">
      <c r="A12" s="3" t="s">
        <v>130</v>
      </c>
      <c r="B12" s="3" t="s">
        <v>83</v>
      </c>
      <c r="C12" s="5" t="str">
        <f t="shared" si="0"/>
        <v>TraderX.Containers.TradeFeed.Interfaces.SendUpdatesToPositions</v>
      </c>
      <c r="D12" s="3"/>
      <c r="E12" s="3" t="s">
        <v>121</v>
      </c>
    </row>
    <row r="13" spans="1:5" x14ac:dyDescent="0.3">
      <c r="A13" s="3" t="s">
        <v>130</v>
      </c>
      <c r="B13" s="3" t="s">
        <v>84</v>
      </c>
      <c r="C13" s="5" t="str">
        <f t="shared" si="0"/>
        <v>TraderX.Containers.TradeFeed.Interfaces.ReceiveUpdatesToTrades</v>
      </c>
      <c r="D13" s="3"/>
      <c r="E13" s="3" t="s">
        <v>120</v>
      </c>
    </row>
    <row r="14" spans="1:5" x14ac:dyDescent="0.3">
      <c r="A14" s="3" t="s">
        <v>130</v>
      </c>
      <c r="B14" s="3" t="s">
        <v>85</v>
      </c>
      <c r="C14" s="5" t="str">
        <f t="shared" si="0"/>
        <v>TraderX.Containers.TradeFeed.Interfaces.ReceiveUpdatesToPositions</v>
      </c>
      <c r="D14" s="3"/>
      <c r="E14" s="3" t="s">
        <v>120</v>
      </c>
    </row>
    <row r="15" spans="1:5" x14ac:dyDescent="0.3">
      <c r="A15" s="3" t="s">
        <v>130</v>
      </c>
      <c r="B15" s="3" t="s">
        <v>98</v>
      </c>
      <c r="C15" s="5" t="str">
        <f t="shared" si="0"/>
        <v>TraderX.Containers.TradeFeed.Interfaces.SendTradeRequest</v>
      </c>
      <c r="D15" s="3"/>
      <c r="E15" s="3" t="s">
        <v>121</v>
      </c>
    </row>
    <row r="16" spans="1:5" x14ac:dyDescent="0.3">
      <c r="A16" s="3" t="s">
        <v>130</v>
      </c>
      <c r="B16" s="3" t="s">
        <v>99</v>
      </c>
      <c r="C16" s="5" t="str">
        <f t="shared" si="0"/>
        <v>TraderX.Containers.TradeFeed.Interfaces.ReceiveTradeRequest</v>
      </c>
      <c r="D16" s="3"/>
      <c r="E16" s="3" t="s">
        <v>121</v>
      </c>
    </row>
    <row r="17" spans="1:5" x14ac:dyDescent="0.3">
      <c r="A17" s="3" t="s">
        <v>131</v>
      </c>
      <c r="B17" s="3" t="s">
        <v>176</v>
      </c>
      <c r="C17" s="5" t="str">
        <f t="shared" si="0"/>
        <v>TraderX.Containers.TradeProcessor.Interfaces.Start</v>
      </c>
      <c r="D17" s="3"/>
      <c r="E17" s="3"/>
    </row>
    <row r="18" spans="1:5" x14ac:dyDescent="0.3">
      <c r="A18" s="3" t="s">
        <v>132</v>
      </c>
      <c r="B18" s="3" t="s">
        <v>78</v>
      </c>
      <c r="C18" s="5" t="str">
        <f t="shared" si="0"/>
        <v>TraderX.Containers.TraderXDB.Interfaces.SelectDefaultPositionsForAccount</v>
      </c>
      <c r="D18" s="3"/>
      <c r="E18" s="3" t="s">
        <v>122</v>
      </c>
    </row>
    <row r="19" spans="1:5" x14ac:dyDescent="0.3">
      <c r="A19" s="3" t="s">
        <v>132</v>
      </c>
      <c r="B19" s="3" t="s">
        <v>79</v>
      </c>
      <c r="C19" s="5" t="str">
        <f t="shared" si="0"/>
        <v>TraderX.Containers.TraderXDB.Interfaces.SelectAllTradesForAccount</v>
      </c>
      <c r="D19" s="3"/>
      <c r="E19" s="3" t="s">
        <v>122</v>
      </c>
    </row>
    <row r="20" spans="1:5" x14ac:dyDescent="0.3">
      <c r="A20" s="3" t="s">
        <v>132</v>
      </c>
      <c r="B20" s="3" t="s">
        <v>86</v>
      </c>
      <c r="C20" s="5" t="str">
        <f t="shared" si="0"/>
        <v>TraderX.Containers.TraderXDB.Interfaces.SelectCurrentPositions</v>
      </c>
      <c r="D20" s="3"/>
      <c r="E20" s="3" t="s">
        <v>122</v>
      </c>
    </row>
    <row r="21" spans="1:5" x14ac:dyDescent="0.3">
      <c r="A21" s="3" t="s">
        <v>132</v>
      </c>
      <c r="B21" s="3" t="s">
        <v>87</v>
      </c>
      <c r="C21" s="5" t="str">
        <f t="shared" si="0"/>
        <v>TraderX.Containers.TraderXDB.Interfaces.SaveTradeState</v>
      </c>
      <c r="D21" s="3"/>
      <c r="E21" s="3" t="s">
        <v>122</v>
      </c>
    </row>
    <row r="22" spans="1:5" x14ac:dyDescent="0.3">
      <c r="A22" s="3" t="s">
        <v>132</v>
      </c>
      <c r="B22" s="3" t="s">
        <v>88</v>
      </c>
      <c r="C22" s="5" t="str">
        <f t="shared" si="0"/>
        <v>TraderX.Containers.TraderXDB.Interfaces.SavePositionState</v>
      </c>
      <c r="D22" s="3"/>
      <c r="E22" s="3" t="s">
        <v>122</v>
      </c>
    </row>
    <row r="23" spans="1:5" x14ac:dyDescent="0.3">
      <c r="A23" s="3" t="s">
        <v>132</v>
      </c>
      <c r="B23" s="3" t="s">
        <v>100</v>
      </c>
      <c r="C23" s="5" t="str">
        <f t="shared" si="0"/>
        <v>TraderX.Containers.TraderXDB.Interfaces.InsertTradeRequest</v>
      </c>
      <c r="D23" s="3"/>
      <c r="E23" s="3" t="s">
        <v>122</v>
      </c>
    </row>
    <row r="24" spans="1:5" x14ac:dyDescent="0.3">
      <c r="A24" s="3" t="s">
        <v>132</v>
      </c>
      <c r="B24" s="3" t="s">
        <v>97</v>
      </c>
      <c r="C24" s="5" t="str">
        <f t="shared" si="0"/>
        <v>TraderX.Containers.TraderXDB.Interfaces.UpdateTradeStatus</v>
      </c>
      <c r="D24" s="3"/>
      <c r="E24" s="3" t="s">
        <v>122</v>
      </c>
    </row>
    <row r="25" spans="1:5" x14ac:dyDescent="0.3">
      <c r="A25" s="3" t="s">
        <v>133</v>
      </c>
      <c r="B25" s="3" t="s">
        <v>80</v>
      </c>
      <c r="C25" s="5" t="str">
        <f t="shared" si="0"/>
        <v>TraderX.Containers.TradingServices.Interfaces.CreateTrade</v>
      </c>
      <c r="D25" s="3"/>
      <c r="E25" s="3" t="s">
        <v>119</v>
      </c>
    </row>
    <row r="26" spans="1:5" x14ac:dyDescent="0.3">
      <c r="A26" s="3" t="s">
        <v>133</v>
      </c>
      <c r="B26" s="3" t="s">
        <v>81</v>
      </c>
      <c r="C26" s="5" t="str">
        <f t="shared" si="0"/>
        <v>TraderX.Containers.TradingServices.Interfaces.CancelTrade</v>
      </c>
      <c r="D26" s="3"/>
      <c r="E26" s="3" t="s">
        <v>119</v>
      </c>
    </row>
    <row r="27" spans="1:5" x14ac:dyDescent="0.3">
      <c r="A27" s="3" t="s">
        <v>134</v>
      </c>
      <c r="B27" s="3" t="s">
        <v>80</v>
      </c>
      <c r="C27" s="5" t="str">
        <f t="shared" si="0"/>
        <v>TraderX.Containers.WebClient.Interfaces.CreateTrade</v>
      </c>
      <c r="D27" s="3"/>
      <c r="E27" s="3" t="s">
        <v>119</v>
      </c>
    </row>
    <row r="28" spans="1:5" x14ac:dyDescent="0.3">
      <c r="A28" s="3" t="s">
        <v>134</v>
      </c>
      <c r="B28" s="3" t="s">
        <v>81</v>
      </c>
      <c r="C28" s="5" t="str">
        <f t="shared" si="0"/>
        <v>TraderX.Containers.WebClient.Interfaces.CancelTrade</v>
      </c>
      <c r="D28" s="3"/>
      <c r="E28" s="3" t="s">
        <v>119</v>
      </c>
    </row>
    <row r="29" spans="1:5" x14ac:dyDescent="0.3">
      <c r="A29" s="3" t="s">
        <v>134</v>
      </c>
      <c r="B29" s="3" t="s">
        <v>101</v>
      </c>
      <c r="C29" s="5" t="str">
        <f t="shared" si="0"/>
        <v>TraderX.Containers.WebClient.Interfaces.ViewAccount</v>
      </c>
      <c r="D29" s="3"/>
      <c r="E29" s="3" t="s">
        <v>119</v>
      </c>
    </row>
    <row r="30" spans="1:5" x14ac:dyDescent="0.3">
      <c r="A30" s="3" t="s">
        <v>134</v>
      </c>
      <c r="B30" s="3" t="s">
        <v>90</v>
      </c>
      <c r="C30" s="5" t="str">
        <f t="shared" si="0"/>
        <v>TraderX.Containers.WebClient.Interfaces.CreateAccount</v>
      </c>
      <c r="D30" s="3"/>
      <c r="E30" s="3" t="s">
        <v>119</v>
      </c>
    </row>
    <row r="31" spans="1:5" x14ac:dyDescent="0.3">
      <c r="A31" s="3" t="s">
        <v>134</v>
      </c>
      <c r="B31" s="3" t="s">
        <v>91</v>
      </c>
      <c r="C31" s="5" t="str">
        <f t="shared" si="0"/>
        <v>TraderX.Containers.WebClient.Interfaces.UpdateAccount</v>
      </c>
      <c r="D31" s="3"/>
      <c r="E31" s="3" t="s">
        <v>119</v>
      </c>
    </row>
    <row r="32" spans="1:5" x14ac:dyDescent="0.3">
      <c r="A32" s="3" t="s">
        <v>134</v>
      </c>
      <c r="B32" s="3" t="s">
        <v>103</v>
      </c>
      <c r="C32" s="5" t="str">
        <f t="shared" si="0"/>
        <v>TraderX.Containers.WebClient.Interfaces.ViewTradeStatusAndPositions</v>
      </c>
      <c r="D32" s="3"/>
      <c r="E32" s="3" t="s">
        <v>119</v>
      </c>
    </row>
    <row r="33" spans="1:5" x14ac:dyDescent="0.3">
      <c r="A33" s="3" t="s">
        <v>134</v>
      </c>
      <c r="B33" s="3" t="s">
        <v>124</v>
      </c>
      <c r="C33" s="5" t="str">
        <f t="shared" si="0"/>
        <v>TraderX.Containers.WebClient.Interfaces.TypeAheadPeopleSearch</v>
      </c>
      <c r="D33" s="3"/>
      <c r="E33" s="3" t="s">
        <v>119</v>
      </c>
    </row>
    <row r="34" spans="1:5" x14ac:dyDescent="0.3">
      <c r="A34" s="3" t="s">
        <v>134</v>
      </c>
      <c r="B34" s="3" t="s">
        <v>109</v>
      </c>
      <c r="C34" s="5" t="str">
        <f t="shared" si="0"/>
        <v>TraderX.Containers.WebClient.Interfaces.UpdateTradeAndPositionStatusView</v>
      </c>
      <c r="D34" s="3"/>
      <c r="E34" s="3" t="s">
        <v>119</v>
      </c>
    </row>
    <row r="35" spans="1:5" x14ac:dyDescent="0.3">
      <c r="A35" s="3" t="s">
        <v>134</v>
      </c>
      <c r="B35" s="3" t="s">
        <v>110</v>
      </c>
      <c r="C35" s="5" t="str">
        <f t="shared" si="0"/>
        <v>TraderX.Containers.WebClient.Interfaces.SendTradeAndPositionStatusUpdates</v>
      </c>
      <c r="D35" s="3"/>
      <c r="E35" s="3" t="s">
        <v>120</v>
      </c>
    </row>
    <row r="36" spans="1:5" x14ac:dyDescent="0.3">
      <c r="A36" s="3" t="s">
        <v>135</v>
      </c>
      <c r="B36" s="3" t="s">
        <v>102</v>
      </c>
      <c r="C36" s="5" t="str">
        <f t="shared" si="0"/>
        <v>TraderX.Containers.WebGUI.Interfaces.LoadAccount</v>
      </c>
      <c r="D36" s="3"/>
      <c r="E36" s="3" t="s">
        <v>119</v>
      </c>
    </row>
    <row r="37" spans="1:5" x14ac:dyDescent="0.3">
      <c r="A37" s="3" t="s">
        <v>135</v>
      </c>
      <c r="B37" s="3" t="s">
        <v>90</v>
      </c>
      <c r="C37" s="5" t="str">
        <f t="shared" si="0"/>
        <v>TraderX.Containers.WebGUI.Interfaces.CreateAccount</v>
      </c>
      <c r="D37" s="3"/>
      <c r="E37" s="3" t="s">
        <v>119</v>
      </c>
    </row>
    <row r="38" spans="1:5" x14ac:dyDescent="0.3">
      <c r="A38" s="3" t="s">
        <v>135</v>
      </c>
      <c r="B38" s="3" t="s">
        <v>91</v>
      </c>
      <c r="C38" s="5" t="str">
        <f t="shared" si="0"/>
        <v>TraderX.Containers.WebGUI.Interfaces.UpdateAccount</v>
      </c>
      <c r="D38" s="3"/>
      <c r="E38" s="3" t="s">
        <v>119</v>
      </c>
    </row>
    <row r="39" spans="1:5" x14ac:dyDescent="0.3">
      <c r="A39" s="3" t="s">
        <v>135</v>
      </c>
      <c r="B39" s="3" t="s">
        <v>74</v>
      </c>
      <c r="C39" s="5" t="str">
        <f t="shared" si="0"/>
        <v>TraderX.Containers.WebGUI.Interfaces.LoadPositionsForAccount</v>
      </c>
      <c r="D39" s="3"/>
      <c r="E39" s="3" t="s">
        <v>119</v>
      </c>
    </row>
    <row r="40" spans="1:5" x14ac:dyDescent="0.3">
      <c r="A40" s="3" t="s">
        <v>135</v>
      </c>
      <c r="B40" s="3" t="s">
        <v>75</v>
      </c>
      <c r="C40" s="5" t="str">
        <f t="shared" si="0"/>
        <v>TraderX.Containers.WebGUI.Interfaces.LoadTradesForAccount</v>
      </c>
      <c r="D40" s="3"/>
      <c r="E40" s="3" t="s">
        <v>119</v>
      </c>
    </row>
    <row r="41" spans="1:5" x14ac:dyDescent="0.3">
      <c r="A41" s="3" t="s">
        <v>135</v>
      </c>
      <c r="B41" s="3" t="s">
        <v>80</v>
      </c>
      <c r="C41" s="5" t="str">
        <f t="shared" si="0"/>
        <v>TraderX.Containers.WebGUI.Interfaces.CreateTrade</v>
      </c>
      <c r="D41" s="3"/>
      <c r="E41" s="3" t="s">
        <v>119</v>
      </c>
    </row>
    <row r="42" spans="1:5" x14ac:dyDescent="0.3">
      <c r="A42" s="3" t="s">
        <v>135</v>
      </c>
      <c r="B42" s="3" t="s">
        <v>81</v>
      </c>
      <c r="C42" s="5" t="str">
        <f t="shared" si="0"/>
        <v>TraderX.Containers.WebGUI.Interfaces.CancelTrade</v>
      </c>
      <c r="D42" s="3"/>
      <c r="E42" s="3" t="s">
        <v>119</v>
      </c>
    </row>
    <row r="43" spans="1:5" x14ac:dyDescent="0.3">
      <c r="A43" s="3" t="s">
        <v>135</v>
      </c>
      <c r="B43" s="3" t="s">
        <v>124</v>
      </c>
      <c r="C43" s="5" t="str">
        <f t="shared" si="0"/>
        <v>TraderX.Containers.WebGUI.Interfaces.TypeAheadPeopleSearch</v>
      </c>
      <c r="D43" s="3"/>
      <c r="E43" s="3" t="s">
        <v>119</v>
      </c>
    </row>
    <row r="44" spans="1:5" x14ac:dyDescent="0.3">
      <c r="A44" s="3" t="s">
        <v>135</v>
      </c>
      <c r="B44" s="3" t="s">
        <v>176</v>
      </c>
      <c r="C44" s="5" t="str">
        <f t="shared" si="0"/>
        <v>TraderX.Containers.WebGUI.Interfaces.Start</v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ref="C66:C129" si="1">IF(AND(A66 &lt;&gt; "", B66 &lt;&gt; ""), _xlfn.CONCAT(A66, ".Interfaces.", SUBSTITUTE(SUBSTITUTE(SUBSTITUTE(SUBSTITUTE(SUBSTITUTE(SUBSTITUTE(B66, "/",  "And"),")",""),"(",""),"&amp;","And"),"-","")," ","")), "")</f>
        <v/>
      </c>
      <c r="D66" s="3"/>
      <c r="E66" s="3"/>
    </row>
    <row r="67" spans="1:5" x14ac:dyDescent="0.3">
      <c r="A67" s="3"/>
      <c r="B67" s="3"/>
      <c r="C67" s="5" t="str">
        <f t="shared" si="1"/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ref="C130:C193" si="2">IF(AND(A130 &lt;&gt; "", B130 &lt;&gt; ""), _xlfn.CONCAT(A130, ".Interfaces.", SUBSTITUTE(SUBSTITUTE(SUBSTITUTE(SUBSTITUTE(SUBSTITUTE(SUBSTITUTE(B130, "/",  "And"),")",""),"(",""),"&amp;","And"),"-","")," ","")), "")</f>
        <v/>
      </c>
      <c r="D130" s="3"/>
      <c r="E130" s="3"/>
    </row>
    <row r="131" spans="1:5" x14ac:dyDescent="0.3">
      <c r="A131" s="3"/>
      <c r="B131" s="3"/>
      <c r="C131" s="5" t="str">
        <f t="shared" si="2"/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ref="C194:C257" si="3">IF(AND(A194 &lt;&gt; "", B194 &lt;&gt; ""), _xlfn.CONCAT(A194, ".Interfaces.", SUBSTITUTE(SUBSTITUTE(SUBSTITUTE(SUBSTITUTE(SUBSTITUTE(SUBSTITUTE(B194, "/",  "And"),")",""),"(",""),"&amp;","And"),"-","")," ","")), "")</f>
        <v/>
      </c>
      <c r="D194" s="3"/>
      <c r="E194" s="3"/>
    </row>
    <row r="195" spans="1:5" x14ac:dyDescent="0.3">
      <c r="A195" s="3"/>
      <c r="B195" s="3"/>
      <c r="C195" s="5" t="str">
        <f t="shared" si="3"/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ref="C258:C321" si="4">IF(AND(A258 &lt;&gt; "", B258 &lt;&gt; ""), _xlfn.CONCAT(A258, ".Interfaces.", SUBSTITUTE(SUBSTITUTE(SUBSTITUTE(SUBSTITUTE(SUBSTITUTE(SUBSTITUTE(B258, "/",  "And"),")",""),"(",""),"&amp;","And"),"-","")," ","")), "")</f>
        <v/>
      </c>
      <c r="D258" s="3"/>
      <c r="E258" s="3"/>
    </row>
    <row r="259" spans="1:5" x14ac:dyDescent="0.3">
      <c r="A259" s="3"/>
      <c r="B259" s="3"/>
      <c r="C259" s="5" t="str">
        <f t="shared" si="4"/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ref="C322:C385" si="5">IF(AND(A322 &lt;&gt; "", B322 &lt;&gt; ""), _xlfn.CONCAT(A322, ".Interfaces.", SUBSTITUTE(SUBSTITUTE(SUBSTITUTE(SUBSTITUTE(SUBSTITUTE(SUBSTITUTE(B322, "/",  "And"),")",""),"(",""),"&amp;","And"),"-","")," ","")), "")</f>
        <v/>
      </c>
      <c r="D322" s="3"/>
      <c r="E322" s="3"/>
    </row>
    <row r="323" spans="1:5" x14ac:dyDescent="0.3">
      <c r="A323" s="3"/>
      <c r="B323" s="3"/>
      <c r="C323" s="5" t="str">
        <f t="shared" si="5"/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ref="C386:C449" si="6">IF(AND(A386 &lt;&gt; "", B386 &lt;&gt; ""), _xlfn.CONCAT(A386, ".Interfaces.", SUBSTITUTE(SUBSTITUTE(SUBSTITUTE(SUBSTITUTE(SUBSTITUTE(SUBSTITUTE(B386, "/",  "And"),")",""),"(",""),"&amp;","And"),"-","")," ","")), "")</f>
        <v/>
      </c>
      <c r="D386" s="3"/>
      <c r="E386" s="3"/>
    </row>
    <row r="387" spans="1:5" x14ac:dyDescent="0.3">
      <c r="A387" s="3"/>
      <c r="B387" s="3"/>
      <c r="C387" s="5" t="str">
        <f t="shared" si="6"/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ref="C450:C513" si="7">IF(AND(A450 &lt;&gt; "", B450 &lt;&gt; ""), _xlfn.CONCAT(A450, ".Interfaces.", SUBSTITUTE(SUBSTITUTE(SUBSTITUTE(SUBSTITUTE(SUBSTITUTE(SUBSTITUTE(B450, "/",  "And"),")",""),"(",""),"&amp;","And"),"-","")," ","")), "")</f>
        <v/>
      </c>
      <c r="D450" s="3"/>
      <c r="E450" s="3"/>
    </row>
    <row r="451" spans="1:5" x14ac:dyDescent="0.3">
      <c r="A451" s="3"/>
      <c r="B451" s="3"/>
      <c r="C451" s="5" t="str">
        <f t="shared" si="7"/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ref="C514:C577" si="8">IF(AND(A514 &lt;&gt; "", B514 &lt;&gt; ""), _xlfn.CONCAT(A514, ".Interfaces.", SUBSTITUTE(SUBSTITUTE(SUBSTITUTE(SUBSTITUTE(SUBSTITUTE(SUBSTITUTE(B514, "/",  "And"),")",""),"(",""),"&amp;","And"),"-","")," ","")), "")</f>
        <v/>
      </c>
      <c r="D514" s="3"/>
      <c r="E514" s="3"/>
    </row>
    <row r="515" spans="1:5" x14ac:dyDescent="0.3">
      <c r="A515" s="3"/>
      <c r="B515" s="3"/>
      <c r="C515" s="5" t="str">
        <f t="shared" si="8"/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ref="C578:C641" si="9">IF(AND(A578 &lt;&gt; "", B578 &lt;&gt; ""), _xlfn.CONCAT(A578, ".Interfaces.", SUBSTITUTE(SUBSTITUTE(SUBSTITUTE(SUBSTITUTE(SUBSTITUTE(SUBSTITUTE(B578, "/",  "And"),")",""),"(",""),"&amp;","And"),"-","")," ","")), "")</f>
        <v/>
      </c>
      <c r="D578" s="3"/>
      <c r="E578" s="3"/>
    </row>
    <row r="579" spans="1:5" x14ac:dyDescent="0.3">
      <c r="A579" s="3"/>
      <c r="B579" s="3"/>
      <c r="C579" s="5" t="str">
        <f t="shared" si="9"/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  <row r="635" spans="1:5" x14ac:dyDescent="0.3">
      <c r="A635" s="3"/>
      <c r="B635" s="3"/>
      <c r="C635" s="5" t="str">
        <f t="shared" si="9"/>
        <v/>
      </c>
      <c r="D635" s="3"/>
      <c r="E635" s="3"/>
    </row>
    <row r="636" spans="1:5" x14ac:dyDescent="0.3">
      <c r="A636" s="3"/>
      <c r="B636" s="3"/>
      <c r="C636" s="5" t="str">
        <f t="shared" si="9"/>
        <v/>
      </c>
      <c r="D636" s="3"/>
      <c r="E636" s="3"/>
    </row>
    <row r="637" spans="1:5" x14ac:dyDescent="0.3">
      <c r="A637" s="3"/>
      <c r="B637" s="3"/>
      <c r="C637" s="5" t="str">
        <f t="shared" si="9"/>
        <v/>
      </c>
      <c r="D637" s="3"/>
      <c r="E637" s="3"/>
    </row>
    <row r="638" spans="1:5" x14ac:dyDescent="0.3">
      <c r="A638" s="3"/>
      <c r="B638" s="3"/>
      <c r="C638" s="5" t="str">
        <f t="shared" si="9"/>
        <v/>
      </c>
      <c r="D638" s="3"/>
      <c r="E638" s="3"/>
    </row>
    <row r="639" spans="1:5" x14ac:dyDescent="0.3">
      <c r="A639" s="3"/>
      <c r="B639" s="3"/>
      <c r="C639" s="5" t="str">
        <f t="shared" si="9"/>
        <v/>
      </c>
      <c r="D639" s="3"/>
      <c r="E639" s="3"/>
    </row>
    <row r="640" spans="1:5" x14ac:dyDescent="0.3">
      <c r="A640" s="3"/>
      <c r="B640" s="3"/>
      <c r="C640" s="5" t="str">
        <f t="shared" si="9"/>
        <v/>
      </c>
      <c r="D640" s="3"/>
      <c r="E640" s="3"/>
    </row>
    <row r="641" spans="1:5" x14ac:dyDescent="0.3">
      <c r="A641" s="3"/>
      <c r="B641" s="3"/>
      <c r="C641" s="5" t="str">
        <f t="shared" si="9"/>
        <v/>
      </c>
      <c r="D641" s="3"/>
      <c r="E641" s="3"/>
    </row>
    <row r="642" spans="1:5" x14ac:dyDescent="0.3">
      <c r="A642" s="3"/>
      <c r="B642" s="3"/>
      <c r="C642" s="5" t="str">
        <f t="shared" ref="C642:C705" si="10">IF(AND(A642 &lt;&gt; "", B642 &lt;&gt; ""), _xlfn.CONCAT(A642, ".Interfaces.", SUBSTITUTE(SUBSTITUTE(SUBSTITUTE(SUBSTITUTE(SUBSTITUTE(SUBSTITUTE(B642, "/",  "And"),")",""),"(",""),"&amp;","And"),"-","")," ","")), "")</f>
        <v/>
      </c>
      <c r="D642" s="3"/>
      <c r="E642" s="3"/>
    </row>
  </sheetData>
  <autoFilter ref="A1:C642" xr:uid="{2DD900AE-2842-4CCB-9156-5BF804117095}">
    <sortState xmlns:xlrd2="http://schemas.microsoft.com/office/spreadsheetml/2017/richdata2" ref="A2:C642">
      <sortCondition ref="A4:A642"/>
    </sortState>
  </autoFilter>
  <dataConsolidate/>
  <conditionalFormatting sqref="C2:C642">
    <cfRule type="containsBlanks" priority="69" stopIfTrue="1">
      <formula>LEN(TRIM(C2))=0</formula>
    </cfRule>
    <cfRule type="duplicateValues" dxfId="3" priority="70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Containers!$D$2:$D$292</xm:f>
          </x14:formula1>
          <xm:sqref>A2:A642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6"/>
  <sheetViews>
    <sheetView zoomScale="90" zoomScaleNormal="90" workbookViewId="0">
      <pane ySplit="1" topLeftCell="A9" activePane="bottomLeft" state="frozen"/>
      <selection pane="bottomLeft" activeCell="A16" sqref="A16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136</v>
      </c>
      <c r="B2" s="3"/>
      <c r="C2" s="3" t="s">
        <v>105</v>
      </c>
      <c r="D2" s="3"/>
      <c r="E2" t="str">
        <f t="shared" ref="E2:E65" si="0">IF(A2&lt;&gt;"", _xlfn.CONCAT(A2, " -&gt; ", IF(B2&lt;&gt;"", B2,C2)), "")</f>
        <v>TraderX.Containers.PeopleService.Interfaces.GetPeopleData -&gt; UserDirectory.Interfaces.SelectPeopleData</v>
      </c>
    </row>
    <row r="3" spans="1:5" x14ac:dyDescent="0.3">
      <c r="A3" s="3" t="s">
        <v>175</v>
      </c>
      <c r="B3" s="3" t="s">
        <v>155</v>
      </c>
      <c r="C3" s="3"/>
      <c r="D3" s="3"/>
      <c r="E3" t="str">
        <f t="shared" si="0"/>
        <v>TraderX.Containers.TradeProcessor.Interfaces.Start -&gt; TraderX.Containers.TradeFeed.Interfaces.ReceiveTradeRequest</v>
      </c>
    </row>
    <row r="4" spans="1:5" x14ac:dyDescent="0.3">
      <c r="A4" s="3" t="s">
        <v>175</v>
      </c>
      <c r="B4" s="3" t="s">
        <v>156</v>
      </c>
      <c r="C4" s="3"/>
      <c r="D4" s="3"/>
      <c r="E4" t="str">
        <f t="shared" si="0"/>
        <v>TraderX.Containers.TradeProcessor.Interfaces.Start -&gt; TraderX.Containers.TraderXDB.Interfaces.SelectCurrentPositions</v>
      </c>
    </row>
    <row r="5" spans="1:5" x14ac:dyDescent="0.3">
      <c r="A5" s="3" t="s">
        <v>175</v>
      </c>
      <c r="B5" s="3" t="s">
        <v>157</v>
      </c>
      <c r="C5" s="3"/>
      <c r="D5" s="3"/>
      <c r="E5" t="str">
        <f t="shared" si="0"/>
        <v>TraderX.Containers.TradeProcessor.Interfaces.Start -&gt; TraderX.Containers.TraderXDB.Interfaces.SaveTradeState</v>
      </c>
    </row>
    <row r="6" spans="1:5" x14ac:dyDescent="0.3">
      <c r="A6" s="3" t="s">
        <v>175</v>
      </c>
      <c r="B6" s="3" t="s">
        <v>158</v>
      </c>
      <c r="C6" s="3"/>
      <c r="D6" s="3"/>
      <c r="E6" t="str">
        <f t="shared" si="0"/>
        <v>TraderX.Containers.TradeProcessor.Interfaces.Start -&gt; TraderX.Containers.TraderXDB.Interfaces.SavePositionState</v>
      </c>
    </row>
    <row r="7" spans="1:5" x14ac:dyDescent="0.3">
      <c r="A7" s="3" t="s">
        <v>175</v>
      </c>
      <c r="B7" s="3" t="s">
        <v>159</v>
      </c>
      <c r="C7" s="3"/>
      <c r="D7" s="3"/>
      <c r="E7" t="str">
        <f t="shared" si="0"/>
        <v>TraderX.Containers.TradeProcessor.Interfaces.Start -&gt; TraderX.Containers.TradeFeed.Interfaces.SendUpdatesToTrades</v>
      </c>
    </row>
    <row r="8" spans="1:5" x14ac:dyDescent="0.3">
      <c r="A8" s="3" t="s">
        <v>175</v>
      </c>
      <c r="B8" s="3" t="s">
        <v>160</v>
      </c>
      <c r="C8" s="3"/>
      <c r="D8" s="3"/>
      <c r="E8" t="str">
        <f t="shared" si="0"/>
        <v>TraderX.Containers.TradeProcessor.Interfaces.Start -&gt; TraderX.Containers.TradeFeed.Interfaces.SendUpdatesToPositions</v>
      </c>
    </row>
    <row r="9" spans="1:5" x14ac:dyDescent="0.3">
      <c r="A9" s="3" t="s">
        <v>137</v>
      </c>
      <c r="B9" s="3" t="s">
        <v>161</v>
      </c>
      <c r="C9" s="3"/>
      <c r="D9" s="3"/>
      <c r="E9" t="str">
        <f t="shared" si="0"/>
        <v>TraderX.Containers.TradingServices.Interfaces.CancelTrade -&gt; TraderX.Containers.TraderXDB.Interfaces.UpdateTradeStatus</v>
      </c>
    </row>
    <row r="10" spans="1:5" x14ac:dyDescent="0.3">
      <c r="A10" s="3" t="s">
        <v>137</v>
      </c>
      <c r="B10" s="3" t="s">
        <v>159</v>
      </c>
      <c r="C10" s="3"/>
      <c r="D10" s="3"/>
      <c r="E10" t="str">
        <f t="shared" si="0"/>
        <v>TraderX.Containers.TradingServices.Interfaces.CancelTrade -&gt; TraderX.Containers.TradeFeed.Interfaces.SendUpdatesToTrades</v>
      </c>
    </row>
    <row r="11" spans="1:5" x14ac:dyDescent="0.3">
      <c r="A11" s="3" t="s">
        <v>138</v>
      </c>
      <c r="B11" s="3" t="s">
        <v>162</v>
      </c>
      <c r="C11" s="3"/>
      <c r="D11" s="3"/>
      <c r="E11" t="str">
        <f t="shared" si="0"/>
        <v>TraderX.Containers.TradingServices.Interfaces.CreateTrade -&gt; TraderX.Containers.TraderXDB.Interfaces.InsertTradeRequest</v>
      </c>
    </row>
    <row r="12" spans="1:5" x14ac:dyDescent="0.3">
      <c r="A12" s="3" t="s">
        <v>138</v>
      </c>
      <c r="B12" s="3" t="s">
        <v>163</v>
      </c>
      <c r="C12" s="3"/>
      <c r="D12" s="3"/>
      <c r="E12" t="str">
        <f t="shared" si="0"/>
        <v>TraderX.Containers.TradingServices.Interfaces.CreateTrade -&gt; TraderX.Containers.TradeFeed.Interfaces.SendTradeRequest</v>
      </c>
    </row>
    <row r="13" spans="1:5" x14ac:dyDescent="0.3">
      <c r="A13" s="3" t="s">
        <v>139</v>
      </c>
      <c r="B13" s="3" t="s">
        <v>146</v>
      </c>
      <c r="C13" s="3"/>
      <c r="D13" s="3"/>
      <c r="E13" t="str">
        <f t="shared" si="0"/>
        <v>TraderX.Containers.WebClient.Interfaces.CancelTrade -&gt; TraderX.Containers.WebGUI.Interfaces.CancelTrade</v>
      </c>
    </row>
    <row r="14" spans="1:5" x14ac:dyDescent="0.3">
      <c r="A14" s="3" t="s">
        <v>140</v>
      </c>
      <c r="B14" s="3" t="s">
        <v>147</v>
      </c>
      <c r="C14" s="3"/>
      <c r="D14" s="3"/>
      <c r="E14" t="str">
        <f t="shared" si="0"/>
        <v>TraderX.Containers.WebClient.Interfaces.CreateAccount -&gt; TraderX.Containers.WebGUI.Interfaces.CreateAccount</v>
      </c>
    </row>
    <row r="15" spans="1:5" x14ac:dyDescent="0.3">
      <c r="A15" s="3" t="s">
        <v>141</v>
      </c>
      <c r="B15" s="3" t="s">
        <v>148</v>
      </c>
      <c r="C15" s="3"/>
      <c r="D15" s="3"/>
      <c r="E15" t="str">
        <f t="shared" si="0"/>
        <v>TraderX.Containers.WebClient.Interfaces.CreateTrade -&gt; TraderX.Containers.WebGUI.Interfaces.CreateTrade</v>
      </c>
    </row>
    <row r="16" spans="1:5" x14ac:dyDescent="0.3">
      <c r="A16" s="3" t="s">
        <v>142</v>
      </c>
      <c r="B16" s="3" t="s">
        <v>152</v>
      </c>
      <c r="C16" s="3"/>
      <c r="D16" s="3"/>
      <c r="E16" t="str">
        <f t="shared" si="0"/>
        <v>TraderX.Containers.WebClient.Interfaces.TypeAheadPeopleSearch -&gt; TraderX.Containers.WebGUI.Interfaces.TypeAheadPeopleSearch</v>
      </c>
    </row>
    <row r="17" spans="1:5" x14ac:dyDescent="0.3">
      <c r="A17" s="3" t="s">
        <v>143</v>
      </c>
      <c r="B17" s="3" t="s">
        <v>153</v>
      </c>
      <c r="C17" s="3"/>
      <c r="D17" s="3"/>
      <c r="E17" t="str">
        <f t="shared" si="0"/>
        <v>TraderX.Containers.WebClient.Interfaces.UpdateAccount -&gt; TraderX.Containers.WebGUI.Interfaces.UpdateAccount</v>
      </c>
    </row>
    <row r="18" spans="1:5" x14ac:dyDescent="0.3">
      <c r="A18" s="3" t="s">
        <v>144</v>
      </c>
      <c r="B18" s="3" t="s">
        <v>149</v>
      </c>
      <c r="C18" s="3"/>
      <c r="D18" s="3"/>
      <c r="E18" t="str">
        <f t="shared" si="0"/>
        <v>TraderX.Containers.WebClient.Interfaces.ViewAccount -&gt; TraderX.Containers.WebGUI.Interfaces.LoadAccount</v>
      </c>
    </row>
    <row r="19" spans="1:5" x14ac:dyDescent="0.3">
      <c r="A19" s="3" t="s">
        <v>144</v>
      </c>
      <c r="B19" s="3" t="s">
        <v>151</v>
      </c>
      <c r="C19" s="3"/>
      <c r="D19" s="3"/>
      <c r="E19" t="str">
        <f t="shared" si="0"/>
        <v>TraderX.Containers.WebClient.Interfaces.ViewAccount -&gt; TraderX.Containers.WebGUI.Interfaces.LoadTradesForAccount</v>
      </c>
    </row>
    <row r="20" spans="1:5" x14ac:dyDescent="0.3">
      <c r="A20" s="3" t="s">
        <v>144</v>
      </c>
      <c r="B20" s="3" t="s">
        <v>150</v>
      </c>
      <c r="C20" s="3"/>
      <c r="D20" s="3"/>
      <c r="E20" t="str">
        <f t="shared" si="0"/>
        <v>TraderX.Containers.WebClient.Interfaces.ViewAccount -&gt; TraderX.Containers.WebGUI.Interfaces.LoadPositionsForAccount</v>
      </c>
    </row>
    <row r="21" spans="1:5" x14ac:dyDescent="0.3">
      <c r="A21" s="3" t="s">
        <v>145</v>
      </c>
      <c r="B21" s="3" t="s">
        <v>151</v>
      </c>
      <c r="C21" s="3"/>
      <c r="D21" s="3"/>
      <c r="E21" t="str">
        <f t="shared" si="0"/>
        <v>TraderX.Containers.WebClient.Interfaces.ViewTradeStatusAndPositions -&gt; TraderX.Containers.WebGUI.Interfaces.LoadTradesForAccount</v>
      </c>
    </row>
    <row r="22" spans="1:5" x14ac:dyDescent="0.3">
      <c r="A22" s="3" t="s">
        <v>145</v>
      </c>
      <c r="B22" s="3" t="s">
        <v>150</v>
      </c>
      <c r="C22" s="3"/>
      <c r="D22" s="3"/>
      <c r="E22" t="str">
        <f t="shared" si="0"/>
        <v>TraderX.Containers.WebClient.Interfaces.ViewTradeStatusAndPositions -&gt; TraderX.Containers.WebGUI.Interfaces.LoadPositionsForAccount</v>
      </c>
    </row>
    <row r="23" spans="1:5" x14ac:dyDescent="0.3">
      <c r="A23" s="3" t="s">
        <v>146</v>
      </c>
      <c r="B23" s="3" t="s">
        <v>137</v>
      </c>
      <c r="C23" s="3"/>
      <c r="D23" s="3"/>
      <c r="E23" t="str">
        <f t="shared" si="0"/>
        <v>TraderX.Containers.WebGUI.Interfaces.CancelTrade -&gt; TraderX.Containers.TradingServices.Interfaces.CancelTrade</v>
      </c>
    </row>
    <row r="24" spans="1:5" x14ac:dyDescent="0.3">
      <c r="A24" s="3" t="s">
        <v>147</v>
      </c>
      <c r="B24" s="3" t="s">
        <v>164</v>
      </c>
      <c r="C24" s="3"/>
      <c r="D24" s="3"/>
      <c r="E24" t="str">
        <f t="shared" si="0"/>
        <v>TraderX.Containers.WebGUI.Interfaces.CreateAccount -&gt; TraderX.Containers.AccountsService.Interfaces.CreateAccount</v>
      </c>
    </row>
    <row r="25" spans="1:5" x14ac:dyDescent="0.3">
      <c r="A25" s="3" t="s">
        <v>148</v>
      </c>
      <c r="B25" s="3" t="s">
        <v>165</v>
      </c>
      <c r="C25" s="3"/>
      <c r="D25" s="3"/>
      <c r="E25" t="str">
        <f t="shared" si="0"/>
        <v>TraderX.Containers.WebGUI.Interfaces.CreateTrade -&gt; TraderX.Containers.ReferenceDataService.Interfaces.GetSecurities</v>
      </c>
    </row>
    <row r="26" spans="1:5" x14ac:dyDescent="0.3">
      <c r="A26" s="3" t="s">
        <v>148</v>
      </c>
      <c r="B26" s="3" t="s">
        <v>138</v>
      </c>
      <c r="C26" s="3"/>
      <c r="D26" s="3"/>
      <c r="E26" t="str">
        <f t="shared" si="0"/>
        <v>TraderX.Containers.WebGUI.Interfaces.CreateTrade -&gt; TraderX.Containers.TradingServices.Interfaces.CreateTrade</v>
      </c>
    </row>
    <row r="27" spans="1:5" x14ac:dyDescent="0.3">
      <c r="A27" s="3" t="s">
        <v>149</v>
      </c>
      <c r="B27" s="3" t="s">
        <v>166</v>
      </c>
      <c r="C27" s="3"/>
      <c r="D27" s="3"/>
      <c r="E27" t="str">
        <f t="shared" si="0"/>
        <v>TraderX.Containers.WebGUI.Interfaces.LoadAccount -&gt; TraderX.Containers.AccountsService.Interfaces.GetAccounts</v>
      </c>
    </row>
    <row r="28" spans="1:5" x14ac:dyDescent="0.3">
      <c r="A28" s="3" t="s">
        <v>150</v>
      </c>
      <c r="B28" s="3" t="s">
        <v>167</v>
      </c>
      <c r="C28" s="3"/>
      <c r="D28" s="3"/>
      <c r="E28" t="str">
        <f t="shared" si="0"/>
        <v>TraderX.Containers.WebGUI.Interfaces.LoadPositionsForAccount -&gt; TraderX.Containers.PositionService.Interfaces.GetPositionsForAccount</v>
      </c>
    </row>
    <row r="29" spans="1:5" x14ac:dyDescent="0.3">
      <c r="A29" s="3" t="s">
        <v>151</v>
      </c>
      <c r="B29" s="3" t="s">
        <v>168</v>
      </c>
      <c r="C29" s="3"/>
      <c r="D29" s="3"/>
      <c r="E29" t="str">
        <f t="shared" si="0"/>
        <v>TraderX.Containers.WebGUI.Interfaces.LoadTradesForAccount -&gt; TraderX.Containers.PositionService.Interfaces.GetTradesForAccount</v>
      </c>
    </row>
    <row r="30" spans="1:5" x14ac:dyDescent="0.3">
      <c r="A30" s="3" t="s">
        <v>152</v>
      </c>
      <c r="B30" s="3" t="s">
        <v>136</v>
      </c>
      <c r="C30" s="3"/>
      <c r="D30" s="3"/>
      <c r="E30" t="str">
        <f t="shared" si="0"/>
        <v>TraderX.Containers.WebGUI.Interfaces.TypeAheadPeopleSearch -&gt; TraderX.Containers.PeopleService.Interfaces.GetPeopleData</v>
      </c>
    </row>
    <row r="31" spans="1:5" x14ac:dyDescent="0.3">
      <c r="A31" s="3" t="s">
        <v>153</v>
      </c>
      <c r="B31" s="3" t="s">
        <v>169</v>
      </c>
      <c r="C31" s="3"/>
      <c r="D31" s="3"/>
      <c r="E31" t="str">
        <f t="shared" si="0"/>
        <v>TraderX.Containers.WebGUI.Interfaces.UpdateAccount -&gt; TraderX.Containers.AccountsService.Interfaces.UpdateAccount</v>
      </c>
    </row>
    <row r="32" spans="1:5" x14ac:dyDescent="0.3">
      <c r="A32" s="3" t="s">
        <v>177</v>
      </c>
      <c r="B32" s="3" t="s">
        <v>170</v>
      </c>
      <c r="C32" s="3"/>
      <c r="D32" s="3"/>
      <c r="E32" t="str">
        <f t="shared" si="0"/>
        <v>TraderX.Containers.WebGUI.Interfaces.Start -&gt; TraderX.Containers.TradeFeed.Interfaces.ReceiveUpdatesToTrades</v>
      </c>
    </row>
    <row r="33" spans="1:5" x14ac:dyDescent="0.3">
      <c r="A33" s="3" t="s">
        <v>177</v>
      </c>
      <c r="B33" s="3" t="s">
        <v>171</v>
      </c>
      <c r="C33" s="3"/>
      <c r="D33" s="3"/>
      <c r="E33" t="str">
        <f t="shared" si="0"/>
        <v>TraderX.Containers.WebGUI.Interfaces.Start -&gt; TraderX.Containers.TradeFeed.Interfaces.ReceiveUpdatesToPositions</v>
      </c>
    </row>
    <row r="34" spans="1:5" x14ac:dyDescent="0.3">
      <c r="A34" s="3" t="s">
        <v>177</v>
      </c>
      <c r="B34" s="3" t="s">
        <v>154</v>
      </c>
      <c r="C34" s="3"/>
      <c r="D34" s="3"/>
      <c r="E34" t="str">
        <f t="shared" si="0"/>
        <v>TraderX.Containers.WebGUI.Interfaces.Start -&gt; TraderX.Containers.WebClient.Interfaces.SendTradeAndPositionStatusUpdates</v>
      </c>
    </row>
    <row r="35" spans="1:5" x14ac:dyDescent="0.3">
      <c r="A35" s="3" t="s">
        <v>154</v>
      </c>
      <c r="B35" s="3" t="s">
        <v>172</v>
      </c>
      <c r="C35" s="3"/>
      <c r="D35" s="3"/>
      <c r="E35" t="str">
        <f t="shared" si="0"/>
        <v>TraderX.Containers.WebClient.Interfaces.SendTradeAndPositionStatusUpdates -&gt; TraderX.Containers.WebClient.Interfaces.UpdateTradeAndPositionStatusView</v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6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</sheetData>
  <autoFilter ref="A1:C496" xr:uid="{36AF8158-FD3B-4D2D-B8DF-EC23CCB1AC0C}"/>
  <sortState xmlns:xlrd2="http://schemas.microsoft.com/office/spreadsheetml/2017/richdata2" ref="A2:E496">
    <sortCondition ref="A25:A496"/>
  </sortState>
  <dataConsolidate/>
  <conditionalFormatting sqref="E2:E496">
    <cfRule type="containsBlanks" priority="71" stopIfTrue="1">
      <formula>LEN(TRIM(E2))=0</formula>
    </cfRule>
    <cfRule type="duplicateValues" dxfId="2" priority="7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D84970-D56B-482F-BAA6-E4135116028F}">
          <x14:formula1>
            <xm:f>'Container Interfaces'!$C$2:$C$642</xm:f>
          </x14:formula1>
          <xm:sqref>A134:B146 A147:A496 B236:B496 B148:B201 B203:B234 A133 A2:B132</xm:sqref>
        </x14:dataValidation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D49"/>
  <sheetViews>
    <sheetView workbookViewId="0">
      <selection activeCell="A4" sqref="A4:XFD4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  <col min="4" max="4" width="43" customWidth="1"/>
  </cols>
  <sheetData>
    <row r="1" spans="1:4" x14ac:dyDescent="0.3">
      <c r="A1" s="2" t="s">
        <v>0</v>
      </c>
      <c r="B1" s="2" t="s">
        <v>4</v>
      </c>
      <c r="C1" s="4" t="s">
        <v>2</v>
      </c>
      <c r="D1" s="2" t="s">
        <v>45</v>
      </c>
    </row>
    <row r="2" spans="1:4" x14ac:dyDescent="0.3">
      <c r="A2" s="3" t="s">
        <v>48</v>
      </c>
      <c r="B2" s="3" t="s">
        <v>15</v>
      </c>
      <c r="C2" s="5" t="str">
        <f>IF(A2 &lt;&gt; "", SUBSTITUTE(SUBSTITUTE(SUBSTITUTE(SUBSTITUTE(SUBSTITUTE(A2,")",""),"(",""),"&amp;","And"),"-","")," ",""), "")</f>
        <v>Trader</v>
      </c>
      <c r="D2" s="3" t="s">
        <v>49</v>
      </c>
    </row>
    <row r="3" spans="1:4" x14ac:dyDescent="0.3">
      <c r="A3" s="3" t="s">
        <v>173</v>
      </c>
      <c r="B3" s="3" t="s">
        <v>14</v>
      </c>
      <c r="C3" s="5" t="str">
        <f>IF(A3 &lt;&gt; "", SUBSTITUTE(SUBSTITUTE(SUBSTITUTE(SUBSTITUTE(SUBSTITUTE(A3,")",""),"(",""),"&amp;","And"),"-","")," ",""), "")</f>
        <v>ExternalProcess</v>
      </c>
      <c r="D3" s="3"/>
    </row>
    <row r="4" spans="1:4" x14ac:dyDescent="0.3">
      <c r="A4" s="3"/>
      <c r="B4" s="3"/>
      <c r="C4" s="5" t="str">
        <f t="shared" ref="C4:C49" si="0">IF(A4 &lt;&gt; "", SUBSTITUTE(SUBSTITUTE(SUBSTITUTE(SUBSTITUTE(SUBSTITUTE(A4,")",""),"(",""),"&amp;","And"),"-","")," ",""), "")</f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</sheetData>
  <phoneticPr fontId="2" type="noConversion"/>
  <conditionalFormatting sqref="C2:C49">
    <cfRule type="containsBlanks" priority="73" stopIfTrue="1">
      <formula>LEN(TRIM(C2))=0</formula>
    </cfRule>
    <cfRule type="duplicateValues" dxfId="0" priority="74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B2:B49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A7" sqref="A7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71</v>
      </c>
      <c r="B2" s="5" t="str">
        <f>IF(A2 &lt;&gt; "",SUBSTITUTE(SUBSTITUTE(SUBSTITUTE(SUBSTITUTE(SUBSTITUTE(A2,"&amp;","And")," ",""), "(", ""), ")", ""), "-", ""), "")</f>
        <v>ExecuteTrades</v>
      </c>
    </row>
    <row r="3" spans="1:2" x14ac:dyDescent="0.3">
      <c r="A3" s="3" t="s">
        <v>72</v>
      </c>
      <c r="B3" s="5" t="str">
        <f>IF(A3 &lt;&gt; "",SUBSTITUTE(SUBSTITUTE(SUBSTITUTE(SUBSTITUTE(A3," ",""), "(", ""), ")", ""), "-", ""), "")</f>
        <v>ManageAccounts</v>
      </c>
    </row>
    <row r="4" spans="1:2" x14ac:dyDescent="0.3">
      <c r="A4" s="3" t="s">
        <v>103</v>
      </c>
      <c r="B4" s="5" t="str">
        <f t="shared" ref="B4:B30" si="0">IF(A4 &lt;&gt; "",SUBSTITUTE(SUBSTITUTE(SUBSTITUTE(SUBSTITUTE(A4," ",""), "(", ""), ")", ""), "-", ""), "")</f>
        <v>ViewTradeStatusAndPositions</v>
      </c>
    </row>
    <row r="5" spans="1:2" x14ac:dyDescent="0.3">
      <c r="A5" s="3" t="s">
        <v>178</v>
      </c>
      <c r="B5" s="5" t="str">
        <f t="shared" si="0"/>
        <v>PeopleSearch</v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3"/>
  <sheetViews>
    <sheetView zoomScaleNormal="100" workbookViewId="0">
      <pane ySplit="1" topLeftCell="A2" activePane="bottomLeft" state="frozen"/>
      <selection pane="bottomLeft" activeCell="D12" sqref="D12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16.109375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106</v>
      </c>
      <c r="B2" s="3" t="s">
        <v>107</v>
      </c>
      <c r="C2" s="3" t="s">
        <v>48</v>
      </c>
      <c r="D2" s="3" t="s">
        <v>141</v>
      </c>
      <c r="E2" s="3"/>
    </row>
    <row r="3" spans="1:5" x14ac:dyDescent="0.3">
      <c r="A3" s="3" t="s">
        <v>106</v>
      </c>
      <c r="B3" s="3" t="s">
        <v>108</v>
      </c>
      <c r="C3" s="3" t="s">
        <v>174</v>
      </c>
      <c r="D3" s="3" t="s">
        <v>175</v>
      </c>
      <c r="E3" s="3"/>
    </row>
    <row r="4" spans="1:5" x14ac:dyDescent="0.3">
      <c r="A4" s="3" t="s">
        <v>106</v>
      </c>
      <c r="B4" s="3" t="s">
        <v>111</v>
      </c>
      <c r="C4" s="3" t="s">
        <v>174</v>
      </c>
      <c r="D4" s="3" t="s">
        <v>177</v>
      </c>
      <c r="E4" s="3"/>
    </row>
    <row r="5" spans="1:5" x14ac:dyDescent="0.3">
      <c r="A5" s="3" t="s">
        <v>106</v>
      </c>
      <c r="B5" s="3" t="s">
        <v>81</v>
      </c>
      <c r="C5" s="3" t="s">
        <v>48</v>
      </c>
      <c r="D5" s="3" t="s">
        <v>139</v>
      </c>
      <c r="E5" s="3"/>
    </row>
    <row r="6" spans="1:5" x14ac:dyDescent="0.3">
      <c r="A6" s="3" t="s">
        <v>112</v>
      </c>
      <c r="B6" s="3" t="s">
        <v>101</v>
      </c>
      <c r="C6" s="3" t="s">
        <v>48</v>
      </c>
      <c r="D6" s="3" t="s">
        <v>144</v>
      </c>
      <c r="E6" s="3"/>
    </row>
    <row r="7" spans="1:5" x14ac:dyDescent="0.3">
      <c r="A7" s="3" t="s">
        <v>112</v>
      </c>
      <c r="B7" s="3" t="s">
        <v>90</v>
      </c>
      <c r="C7" s="3" t="s">
        <v>48</v>
      </c>
      <c r="D7" s="3" t="s">
        <v>140</v>
      </c>
      <c r="E7" s="3"/>
    </row>
    <row r="8" spans="1:5" x14ac:dyDescent="0.3">
      <c r="A8" s="3" t="s">
        <v>112</v>
      </c>
      <c r="B8" s="3" t="s">
        <v>91</v>
      </c>
      <c r="C8" s="3" t="s">
        <v>48</v>
      </c>
      <c r="D8" s="3" t="s">
        <v>143</v>
      </c>
      <c r="E8" s="3"/>
    </row>
    <row r="9" spans="1:5" x14ac:dyDescent="0.3">
      <c r="A9" s="3" t="s">
        <v>113</v>
      </c>
      <c r="B9" s="3" t="s">
        <v>73</v>
      </c>
      <c r="C9" s="3" t="s">
        <v>48</v>
      </c>
      <c r="D9" s="3" t="s">
        <v>145</v>
      </c>
      <c r="E9" s="3"/>
    </row>
    <row r="10" spans="1:5" x14ac:dyDescent="0.3">
      <c r="A10" s="3" t="s">
        <v>179</v>
      </c>
      <c r="B10" s="3" t="s">
        <v>124</v>
      </c>
      <c r="C10" s="3" t="s">
        <v>48</v>
      </c>
      <c r="D10" s="3" t="s">
        <v>142</v>
      </c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  <row r="292" spans="1:5" x14ac:dyDescent="0.3">
      <c r="A292" s="3"/>
      <c r="B292" s="3"/>
      <c r="C292" s="3"/>
      <c r="D292" s="3"/>
      <c r="E292" s="3"/>
    </row>
    <row r="293" spans="1:5" x14ac:dyDescent="0.3">
      <c r="A293" s="3"/>
      <c r="B293" s="3"/>
      <c r="C293" s="3"/>
      <c r="D293" s="3"/>
      <c r="E293" s="3"/>
    </row>
  </sheetData>
  <autoFilter ref="A1:E75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A2:A293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E2:E293</xm:sqref>
        </x14:dataValidation>
        <x14:dataValidation type="list" allowBlank="1" showInputMessage="1" showErrorMessage="1" xr:uid="{D0227F1F-16BC-41CB-9F93-EFA5FB483A46}">
          <x14:formula1>
            <xm:f>'Container Interfaces'!$C$2:$C$642</xm:f>
          </x14:formula1>
          <xm:sqref>D2:D27 D29:D293</xm:sqref>
        </x14:dataValidation>
        <x14:dataValidation type="list" allowBlank="1" showInputMessage="1" showErrorMessage="1" xr:uid="{9C0B5FD3-E1C0-49E8-BC8B-3652DE99503A}">
          <x14:formula1>
            <xm:f>Actors!$C$2:$C$49</xm:f>
          </x14:formula1>
          <xm:sqref>C2:C293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A4" sqref="A4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114</v>
      </c>
      <c r="B2" s="5" t="str">
        <f>IF(A2 &lt;&gt; "", SUBSTITUTE(SUBSTITUTE(SUBSTITUTE(SUBSTITUTE(SUBSTITUTE(A2,")",""),"(",""),"&amp;","And"),"-","")," ",""), "")</f>
        <v>DataClassification</v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2024-03-20T08:33:20Z</dcterms:modified>
  <cp:category/>
  <cp:contentStatus/>
</cp:coreProperties>
</file>