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82A890E2-29B4-4962-B60E-DA25E8C0686E}" xr6:coauthVersionLast="47" xr6:coauthVersionMax="47" xr10:uidLastSave="{00000000-0000-0000-0000-000000000000}"/>
  <bookViews>
    <workbookView xWindow="28680" yWindow="-120" windowWidth="29040" windowHeight="15720" tabRatio="743" firstSheet="2" activeTab="8" xr2:uid="{582731A3-2E44-4377-A3B3-9CE35CA9AC2D}"/>
  </bookViews>
  <sheets>
    <sheet name="Software Systems" sheetId="1" r:id="rId1"/>
    <sheet name="Software System Interfaces" sheetId="2" r:id="rId2"/>
    <sheet name="Software System Interface Flows" sheetId="3" r:id="rId3"/>
    <sheet name="Containers" sheetId="4" r:id="rId4"/>
    <sheet name="Container Interfaces" sheetId="5" r:id="rId5"/>
    <sheet name="Container Interface Flows" sheetId="6" r:id="rId6"/>
    <sheet name="Actors" sheetId="7" r:id="rId7"/>
    <sheet name="Business Processes" sheetId="13" r:id="rId8"/>
    <sheet name="Activities" sheetId="11" r:id="rId9"/>
    <sheet name="Container Types" sheetId="9" r:id="rId10"/>
    <sheet name="Actor Types" sheetId="14" r:id="rId11"/>
  </sheets>
  <definedNames>
    <definedName name="_xlnm._FilterDatabase" localSheetId="8" hidden="1">Activities!$A$1:$E$73</definedName>
    <definedName name="_xlnm._FilterDatabase" localSheetId="5" hidden="1">'Container Interface Flows'!$A$1:$C$497</definedName>
    <definedName name="_xlnm._FilterDatabase" localSheetId="4" hidden="1">'Container Interfaces'!$A$1:$C$634</definedName>
    <definedName name="_xlnm._FilterDatabase" localSheetId="3" hidden="1">Containers!$A$1:$D$291</definedName>
    <definedName name="_xlnm._FilterDatabase" localSheetId="2" hidden="1">'Software System Interface Flows'!$A$1:$E$307</definedName>
    <definedName name="_xlnm._FilterDatabase" localSheetId="1" hidden="1">'Software System Interfaces'!$A$1:$B$297</definedName>
    <definedName name="_xlnm._FilterDatabase" localSheetId="0" hidden="1">'Software Systems'!$A$1:$B$290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Systems'!$C$2:$C$289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B2" i="13"/>
  <c r="B3" i="13"/>
  <c r="B4" i="13"/>
  <c r="B5" i="13"/>
  <c r="B6" i="13"/>
  <c r="B7" i="13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C120" i="5"/>
  <c r="C119" i="5"/>
  <c r="C118" i="5"/>
  <c r="C117" i="5"/>
  <c r="C116" i="5"/>
  <c r="C539" i="5"/>
  <c r="C115" i="5"/>
  <c r="C98" i="5"/>
  <c r="C97" i="5"/>
  <c r="C84" i="5"/>
  <c r="C96" i="5"/>
  <c r="C114" i="5"/>
  <c r="C72" i="5"/>
  <c r="C538" i="5"/>
  <c r="C348" i="5"/>
  <c r="C95" i="5"/>
  <c r="C137" i="5"/>
  <c r="C113" i="5"/>
  <c r="C112" i="5"/>
  <c r="C111" i="5"/>
  <c r="C110" i="5"/>
  <c r="C349" i="5"/>
  <c r="C138" i="5"/>
  <c r="C625" i="5"/>
  <c r="C624" i="5"/>
  <c r="C623" i="5"/>
  <c r="C622" i="5"/>
  <c r="C621" i="5"/>
  <c r="C629" i="5"/>
  <c r="C628" i="5"/>
  <c r="C627" i="5"/>
  <c r="C626" i="5"/>
  <c r="C631" i="5"/>
  <c r="C630" i="5"/>
  <c r="C147" i="5"/>
  <c r="C101" i="5"/>
  <c r="C530" i="5"/>
  <c r="C77" i="5"/>
  <c r="C88" i="5"/>
  <c r="C87" i="5"/>
  <c r="C100" i="5"/>
  <c r="C86" i="5"/>
  <c r="C85" i="5"/>
  <c r="C99" i="5"/>
  <c r="C347" i="5"/>
  <c r="C356" i="5"/>
  <c r="C520" i="5"/>
  <c r="C346" i="5"/>
  <c r="C355" i="5"/>
  <c r="C519" i="5"/>
  <c r="C136" i="5"/>
  <c r="C518" i="5"/>
  <c r="C354" i="5"/>
  <c r="C148" i="5"/>
  <c r="C135" i="5"/>
  <c r="C134" i="5"/>
  <c r="C133" i="5"/>
  <c r="C132" i="5"/>
  <c r="C131" i="5"/>
  <c r="C517" i="5"/>
  <c r="C130" i="5"/>
  <c r="C516" i="5"/>
  <c r="C353" i="5"/>
  <c r="C352" i="5"/>
  <c r="C91" i="5"/>
  <c r="C105" i="5"/>
  <c r="C535" i="5"/>
  <c r="C80" i="5"/>
  <c r="C79" i="5"/>
  <c r="C104" i="5"/>
  <c r="C534" i="5"/>
  <c r="C103" i="5"/>
  <c r="C90" i="5"/>
  <c r="C533" i="5"/>
  <c r="C89" i="5"/>
  <c r="C102" i="5"/>
  <c r="C532" i="5"/>
  <c r="C78" i="5"/>
  <c r="C531" i="5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C276" i="5"/>
  <c r="C262" i="5"/>
  <c r="C275" i="5"/>
  <c r="C261" i="5"/>
  <c r="C274" i="5"/>
  <c r="C260" i="5"/>
  <c r="C273" i="5"/>
  <c r="C259" i="5"/>
  <c r="C419" i="5"/>
  <c r="C345" i="5"/>
  <c r="C258" i="5"/>
  <c r="C257" i="5"/>
  <c r="C256" i="5"/>
  <c r="C272" i="5"/>
  <c r="C255" i="5"/>
  <c r="C271" i="5"/>
  <c r="C254" i="5"/>
  <c r="C270" i="5"/>
  <c r="C253" i="5"/>
  <c r="C278" i="5"/>
  <c r="C252" i="5"/>
  <c r="C251" i="5"/>
  <c r="C250" i="5"/>
  <c r="C418" i="5"/>
  <c r="C344" i="5"/>
  <c r="C249" i="5"/>
  <c r="C417" i="5"/>
  <c r="C343" i="5"/>
  <c r="C350" i="5"/>
  <c r="C527" i="5"/>
  <c r="C526" i="5"/>
  <c r="C129" i="5"/>
  <c r="C146" i="5"/>
  <c r="C525" i="5"/>
  <c r="C524" i="5"/>
  <c r="C281" i="5"/>
  <c r="C266" i="5"/>
  <c r="C280" i="5"/>
  <c r="C265" i="5"/>
  <c r="C279" i="5"/>
  <c r="C264" i="5"/>
  <c r="C277" i="5"/>
  <c r="C263" i="5"/>
  <c r="C537" i="5"/>
  <c r="C82" i="5"/>
  <c r="C81" i="5"/>
  <c r="C107" i="5"/>
  <c r="C536" i="5"/>
  <c r="C106" i="5"/>
  <c r="C351" i="5"/>
  <c r="C181" i="5"/>
  <c r="C296" i="5"/>
  <c r="C180" i="5"/>
  <c r="C295" i="5"/>
  <c r="C179" i="5"/>
  <c r="C294" i="5"/>
  <c r="C178" i="5"/>
  <c r="C293" i="5"/>
  <c r="C177" i="5"/>
  <c r="C292" i="5"/>
  <c r="C176" i="5"/>
  <c r="C291" i="5"/>
  <c r="C175" i="5"/>
  <c r="C290" i="5"/>
  <c r="C174" i="5"/>
  <c r="C289" i="5"/>
  <c r="C173" i="5"/>
  <c r="C288" i="5"/>
  <c r="C172" i="5"/>
  <c r="C287" i="5"/>
  <c r="C171" i="5"/>
  <c r="C286" i="5"/>
  <c r="C170" i="5"/>
  <c r="C285" i="5"/>
  <c r="C169" i="5"/>
  <c r="C284" i="5"/>
  <c r="C168" i="5"/>
  <c r="C283" i="5"/>
  <c r="C167" i="5"/>
  <c r="C188" i="5"/>
  <c r="C303" i="5"/>
  <c r="C187" i="5"/>
  <c r="C302" i="5"/>
  <c r="C186" i="5"/>
  <c r="C301" i="5"/>
  <c r="C185" i="5"/>
  <c r="C300" i="5"/>
  <c r="C184" i="5"/>
  <c r="C299" i="5"/>
  <c r="C183" i="5"/>
  <c r="C298" i="5"/>
  <c r="C182" i="5"/>
  <c r="C297" i="5"/>
  <c r="D47" i="4"/>
  <c r="D29" i="4"/>
  <c r="C162" i="5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C489" i="5"/>
  <c r="C490" i="5"/>
  <c r="C125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3" i="5"/>
  <c r="C74" i="5"/>
  <c r="C75" i="5"/>
  <c r="C76" i="5"/>
  <c r="C121" i="5"/>
  <c r="C122" i="5"/>
  <c r="C123" i="5"/>
  <c r="C124" i="5"/>
  <c r="C139" i="5"/>
  <c r="C140" i="5"/>
  <c r="C141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81" i="5"/>
  <c r="C482" i="5"/>
  <c r="C483" i="5"/>
  <c r="C484" i="5"/>
  <c r="C485" i="5"/>
  <c r="C471" i="5"/>
  <c r="C472" i="5"/>
  <c r="C473" i="5"/>
  <c r="C474" i="5"/>
  <c r="C475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21" i="5"/>
  <c r="C522" i="5"/>
  <c r="C523" i="5"/>
  <c r="C528" i="5"/>
  <c r="C52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407" i="5"/>
  <c r="C408" i="5"/>
  <c r="C409" i="5"/>
  <c r="C410" i="5"/>
  <c r="C411" i="5"/>
  <c r="C412" i="5"/>
  <c r="C413" i="5"/>
  <c r="C414" i="5"/>
  <c r="C415" i="5"/>
  <c r="C486" i="5"/>
  <c r="C487" i="5"/>
  <c r="C476" i="5"/>
  <c r="C477" i="5"/>
  <c r="C488" i="5"/>
  <c r="C478" i="5"/>
  <c r="C340" i="5"/>
  <c r="C479" i="5"/>
  <c r="C480" i="5"/>
  <c r="C161" i="5"/>
  <c r="C235" i="5"/>
  <c r="C142" i="5"/>
  <c r="C126" i="5"/>
  <c r="C163" i="5"/>
  <c r="C236" i="5"/>
  <c r="C143" i="5"/>
  <c r="C164" i="5"/>
  <c r="C237" i="5"/>
  <c r="C144" i="5"/>
  <c r="C127" i="5"/>
  <c r="C165" i="5"/>
  <c r="C238" i="5"/>
  <c r="C341" i="5"/>
  <c r="C416" i="5"/>
  <c r="C239" i="5"/>
  <c r="C145" i="5"/>
  <c r="C128" i="5"/>
  <c r="C166" i="5"/>
  <c r="C240" i="5"/>
  <c r="C241" i="5"/>
  <c r="C242" i="5"/>
  <c r="C243" i="5"/>
  <c r="C342" i="5"/>
  <c r="C244" i="5"/>
  <c r="C245" i="5"/>
  <c r="C267" i="5"/>
  <c r="C246" i="5"/>
  <c r="C268" i="5"/>
  <c r="C247" i="5"/>
  <c r="C269" i="5"/>
  <c r="C282" i="5"/>
  <c r="C304" i="5"/>
  <c r="C189" i="5"/>
  <c r="C305" i="5"/>
  <c r="C190" i="5"/>
  <c r="C306" i="5"/>
  <c r="C191" i="5"/>
  <c r="C248" i="5"/>
  <c r="C83" i="5"/>
  <c r="C92" i="5"/>
  <c r="C93" i="5"/>
  <c r="C94" i="5"/>
  <c r="C108" i="5"/>
  <c r="C109" i="5"/>
  <c r="C632" i="5"/>
  <c r="C633" i="5"/>
  <c r="C634" i="5"/>
  <c r="C2" i="5"/>
  <c r="D49" i="4"/>
  <c r="D48" i="4"/>
  <c r="D81" i="4" l="1"/>
  <c r="C16" i="2" l="1"/>
  <c r="E2" i="3" l="1"/>
  <c r="E2" i="6"/>
  <c r="C10" i="2" l="1"/>
  <c r="D26" i="4"/>
  <c r="C7" i="2" l="1"/>
  <c r="D32" i="4" l="1"/>
  <c r="D11" i="4"/>
  <c r="C6" i="2"/>
  <c r="D85" i="4" l="1"/>
  <c r="D84" i="4"/>
  <c r="D72" i="4"/>
  <c r="D8" i="4"/>
  <c r="D60" i="4"/>
  <c r="D27" i="4"/>
  <c r="D45" i="4"/>
  <c r="D75" i="4"/>
  <c r="C9" i="2" l="1"/>
  <c r="C8" i="2"/>
  <c r="D34" i="4"/>
  <c r="D33" i="4"/>
  <c r="C56" i="1"/>
  <c r="C3" i="1" l="1"/>
  <c r="C4" i="1"/>
  <c r="C5" i="1"/>
  <c r="C6" i="1"/>
  <c r="C8" i="1"/>
  <c r="C9" i="1"/>
  <c r="C10" i="1"/>
  <c r="C12" i="1"/>
  <c r="C13" i="1"/>
  <c r="C14" i="1"/>
  <c r="C15" i="1"/>
  <c r="C17" i="1"/>
  <c r="C18" i="1"/>
  <c r="C19" i="1"/>
  <c r="C21" i="1"/>
  <c r="C24" i="1"/>
  <c r="C25" i="1"/>
  <c r="C27" i="1"/>
  <c r="C28" i="1"/>
  <c r="C29" i="1"/>
  <c r="C30" i="1"/>
  <c r="C32" i="1"/>
  <c r="C33" i="1"/>
  <c r="C34" i="1"/>
  <c r="C39" i="1"/>
  <c r="C40" i="1"/>
  <c r="C42" i="1"/>
  <c r="C44" i="1"/>
  <c r="C46" i="1"/>
  <c r="C48" i="1"/>
  <c r="C50" i="1"/>
  <c r="C54" i="1"/>
  <c r="C55" i="1"/>
  <c r="C57" i="1"/>
  <c r="C4" i="2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C3" i="2"/>
  <c r="D44" i="4"/>
  <c r="D42" i="4"/>
  <c r="D57" i="4" l="1"/>
  <c r="D25" i="4"/>
  <c r="D56" i="4"/>
  <c r="D55" i="4"/>
  <c r="D58" i="4"/>
  <c r="D54" i="4"/>
  <c r="D59" i="4"/>
  <c r="D46" i="4"/>
  <c r="D24" i="4"/>
  <c r="D70" i="4"/>
  <c r="D71" i="4"/>
  <c r="D18" i="4"/>
  <c r="D9" i="4"/>
  <c r="D5" i="4"/>
  <c r="D4" i="4"/>
  <c r="D7" i="4"/>
  <c r="D6" i="4"/>
  <c r="D36" i="4"/>
  <c r="D35" i="4"/>
  <c r="D78" i="4"/>
  <c r="D79" i="4"/>
  <c r="D82" i="4"/>
  <c r="D83" i="4"/>
  <c r="D31" i="4"/>
  <c r="D73" i="4"/>
  <c r="D74" i="4"/>
  <c r="D76" i="4"/>
  <c r="D10" i="4"/>
  <c r="D12" i="4"/>
  <c r="D13" i="4"/>
  <c r="D80" i="4"/>
  <c r="D89" i="4"/>
  <c r="D90" i="4"/>
  <c r="D88" i="4"/>
  <c r="D87" i="4"/>
  <c r="D28" i="4"/>
  <c r="D2" i="4"/>
  <c r="D66" i="4"/>
  <c r="D23" i="4"/>
  <c r="D3" i="4"/>
  <c r="D51" i="4"/>
  <c r="D52" i="4"/>
  <c r="D50" i="4"/>
  <c r="D77" i="4"/>
  <c r="D53" i="4"/>
  <c r="D67" i="4"/>
  <c r="D86" i="4"/>
  <c r="D14" i="4"/>
  <c r="D15" i="4"/>
  <c r="D16" i="4"/>
  <c r="D68" i="4"/>
  <c r="D69" i="4"/>
  <c r="D41" i="4"/>
  <c r="D62" i="4"/>
  <c r="D63" i="4"/>
  <c r="D37" i="4"/>
  <c r="D38" i="4"/>
  <c r="D30" i="4"/>
  <c r="D39" i="4"/>
  <c r="D40" i="4"/>
  <c r="D64" i="4"/>
  <c r="D65" i="4"/>
  <c r="D61" i="4"/>
  <c r="D19" i="4"/>
  <c r="D20" i="4"/>
  <c r="D21" i="4"/>
  <c r="D22" i="4"/>
  <c r="D17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43" i="4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2" i="2"/>
  <c r="C41" i="2"/>
  <c r="C40" i="2"/>
  <c r="C34" i="2"/>
  <c r="C33" i="2"/>
  <c r="C32" i="2"/>
  <c r="C31" i="2"/>
  <c r="C30" i="2"/>
  <c r="C29" i="2"/>
  <c r="C24" i="2"/>
  <c r="C28" i="2"/>
  <c r="C27" i="2"/>
  <c r="C37" i="2"/>
  <c r="C36" i="2"/>
  <c r="C23" i="2"/>
  <c r="C22" i="2"/>
  <c r="C21" i="2"/>
  <c r="C35" i="2"/>
  <c r="C43" i="2"/>
  <c r="C20" i="2"/>
  <c r="C19" i="2"/>
  <c r="C18" i="2"/>
  <c r="C17" i="2"/>
  <c r="C15" i="2"/>
  <c r="C14" i="2"/>
  <c r="C13" i="2"/>
  <c r="C12" i="2"/>
  <c r="C11" i="2"/>
  <c r="C5" i="2"/>
  <c r="C26" i="2"/>
  <c r="C25" i="2"/>
  <c r="C39" i="2"/>
  <c r="C38" i="2"/>
  <c r="C2" i="2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58" i="1"/>
  <c r="C59" i="1"/>
  <c r="C60" i="1"/>
  <c r="C61" i="1"/>
  <c r="C62" i="1"/>
  <c r="C23" i="1"/>
  <c r="C22" i="1"/>
  <c r="C49" i="1"/>
  <c r="C11" i="1"/>
  <c r="C64" i="1"/>
  <c r="C63" i="1"/>
  <c r="C2" i="1"/>
  <c r="C43" i="1"/>
  <c r="C36" i="1"/>
  <c r="C35" i="1"/>
  <c r="C52" i="1"/>
  <c r="C37" i="1"/>
  <c r="C53" i="1"/>
  <c r="C38" i="1"/>
  <c r="C45" i="1"/>
  <c r="C26" i="1"/>
  <c r="C41" i="1"/>
  <c r="C47" i="1"/>
  <c r="C16" i="1"/>
  <c r="C7" i="1"/>
  <c r="C31" i="1"/>
  <c r="C20" i="1"/>
  <c r="C51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</calcChain>
</file>

<file path=xl/sharedStrings.xml><?xml version="1.0" encoding="utf-8"?>
<sst xmlns="http://schemas.openxmlformats.org/spreadsheetml/2006/main" count="69" uniqueCount="43">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</sst>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90"/>
  <sheetViews>
    <sheetView workbookViewId="0">
      <pane ySplit="1" topLeftCell="A2" activePane="bottomLeft" state="frozen"/>
      <selection pane="bottomLeft" activeCell="A35" sqref="A35"/>
    </sheetView>
  </sheetViews>
  <sheetFormatPr defaultColWidth="8.6640625" defaultRowHeight="14.4" x14ac:dyDescent="0.3"/>
  <cols>
    <col min="1" max="1" width="33.33203125" bestFit="1" customWidth="1"/>
    <col min="2" max="2" width="16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2</v>
      </c>
    </row>
    <row r="2" spans="1:3" x14ac:dyDescent="0.3">
      <c r="A2" s="3"/>
      <c r="B2" s="3"/>
      <c r="C2" s="5" t="str">
        <f t="shared" ref="C2:C64" si="0">IF(A2 &lt;&gt; "", SUBSTITUTE(A2," ",""),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ref="C65:C128" si="1">IF(A65 &lt;&gt; "", SUBSTITUTE(A65," ",""), "")</f>
        <v/>
      </c>
    </row>
    <row r="66" spans="1:3" x14ac:dyDescent="0.3">
      <c r="A66" s="3"/>
      <c r="B66" s="3"/>
      <c r="C66" s="5" t="str">
        <f t="shared" si="1"/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ref="C129:C192" si="2">IF(A129 &lt;&gt; "", SUBSTITUTE(A129," ",""), "")</f>
        <v/>
      </c>
    </row>
    <row r="130" spans="1:3" x14ac:dyDescent="0.3">
      <c r="A130" s="3"/>
      <c r="B130" s="3"/>
      <c r="C130" s="5" t="str">
        <f t="shared" si="2"/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ref="C193:C256" si="3">IF(A193 &lt;&gt; "", SUBSTITUTE(A193," ",""), "")</f>
        <v/>
      </c>
    </row>
    <row r="194" spans="1:3" x14ac:dyDescent="0.3">
      <c r="A194" s="3"/>
      <c r="B194" s="3"/>
      <c r="C194" s="5" t="str">
        <f t="shared" si="3"/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ref="C257:C290" si="4">IF(A257 &lt;&gt; "", SUBSTITUTE(A257," ",""), "")</f>
        <v/>
      </c>
    </row>
    <row r="258" spans="1:3" x14ac:dyDescent="0.3">
      <c r="A258" s="3"/>
      <c r="B258" s="3"/>
      <c r="C258" s="5" t="str">
        <f t="shared" si="4"/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</sheetData>
  <autoFilter ref="A1:B290" xr:uid="{728F2733-2424-4E04-ADDF-BE095859E6FF}"/>
  <sortState xmlns:xlrd2="http://schemas.microsoft.com/office/spreadsheetml/2017/richdata2" ref="A2:C290">
    <sortCondition ref="A62:A290"/>
  </sortState>
  <conditionalFormatting sqref="C2:C290">
    <cfRule type="duplicateValues" dxfId="16" priority="54"/>
    <cfRule type="containsBlanks" priority="1" stopIfTrue="1">
      <formula>LEN(TRIM(C2))=0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B25" sqref="B25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34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 t="shared" ref="C2:C65" si="0">IF(AND(A2 &lt;&gt; "", B2 &lt;&gt; ""), _xlfn.CONCAT(A2, ".Interfaces.", SUBSTITUTE(B2," ","")),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ref="C66:C129" si="1">IF(AND(A66 &lt;&gt; "", B66 &lt;&gt; ""), _xlfn.CONCAT(A66, ".Interfaces.", SUBSTITUTE(B66," ","")), "")</f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ref="C130:C193" si="2">IF(AND(A130 &lt;&gt; "", B130 &lt;&gt; ""), _xlfn.CONCAT(A130, ".Interfaces.", SUBSTITUTE(B130," ","")), "")</f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ref="C194:C257" si="3">IF(AND(A194 &lt;&gt; "", B194 &lt;&gt; ""), _xlfn.CONCAT(A194, ".Interfaces.", SUBSTITUTE(B194," ","")), "")</f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ref="C258:C287" si="4">IF(AND(A258 &lt;&gt; "", B258 &lt;&gt; ""), _xlfn.CONCAT(A258, ".Interfaces.", SUBSTITUTE(B258," ","")), "")</f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14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Systems'!$C$2:$C$290</xm:f>
          </x14:formula1>
          <xm:sqref>A2:A297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8" activeCellId="1" sqref="D15 B8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1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2" activePane="bottomLeft" state="frozen"/>
      <selection pane="bottomLeft" activeCell="B27" sqref="B27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34</v>
      </c>
      <c r="B1" s="2" t="s">
        <v>0</v>
      </c>
      <c r="C1" s="2" t="s">
        <v>4</v>
      </c>
      <c r="D1" s="4" t="s">
        <v>2</v>
      </c>
    </row>
    <row r="2" spans="1:4" x14ac:dyDescent="0.3">
      <c r="A2" s="3"/>
      <c r="B2" s="3"/>
      <c r="C2" s="3"/>
      <c r="D2" s="5" t="str">
        <f t="shared" ref="D2:D65" si="0">IF(AND(A2 &lt;&gt; "", B2 &lt;&gt; ""), _xlfn.CONCAT(A2, ".Containers.", SUBSTITUTE(B2," ","")), "")</f>
        <v/>
      </c>
    </row>
    <row r="3" spans="1:4" x14ac:dyDescent="0.3">
      <c r="A3" s="3"/>
      <c r="B3" s="3"/>
      <c r="C3" s="3"/>
      <c r="D3" s="5" t="str">
        <f t="shared" si="0"/>
        <v/>
      </c>
    </row>
    <row r="4" spans="1:4" x14ac:dyDescent="0.3">
      <c r="A4" s="3"/>
      <c r="B4" s="3"/>
      <c r="C4" s="3"/>
      <c r="D4" s="5" t="str">
        <f t="shared" si="0"/>
        <v/>
      </c>
    </row>
    <row r="5" spans="1:4" x14ac:dyDescent="0.3">
      <c r="A5" s="3"/>
      <c r="B5" s="3"/>
      <c r="C5" s="3"/>
      <c r="D5" s="5" t="str">
        <f t="shared" si="0"/>
        <v/>
      </c>
    </row>
    <row r="6" spans="1:4" x14ac:dyDescent="0.3">
      <c r="A6" s="3"/>
      <c r="B6" s="3"/>
      <c r="C6" s="3"/>
      <c r="D6" s="5" t="str">
        <f t="shared" si="0"/>
        <v/>
      </c>
    </row>
    <row r="7" spans="1:4" x14ac:dyDescent="0.3">
      <c r="A7" s="3"/>
      <c r="B7" s="3"/>
      <c r="C7" s="3"/>
      <c r="D7" s="5" t="str">
        <f t="shared" si="0"/>
        <v/>
      </c>
    </row>
    <row r="8" spans="1:4" x14ac:dyDescent="0.3">
      <c r="A8" s="3"/>
      <c r="B8" s="3"/>
      <c r="C8" s="3"/>
      <c r="D8" s="5" t="str">
        <f t="shared" si="0"/>
        <v/>
      </c>
    </row>
    <row r="9" spans="1:4" x14ac:dyDescent="0.3">
      <c r="A9" s="3"/>
      <c r="B9" s="3"/>
      <c r="C9" s="3"/>
      <c r="D9" s="5" t="str">
        <f t="shared" si="0"/>
        <v/>
      </c>
    </row>
    <row r="10" spans="1:4" x14ac:dyDescent="0.3">
      <c r="A10" s="3"/>
      <c r="B10" s="3"/>
      <c r="C10" s="3"/>
      <c r="D10" s="5" t="str">
        <f t="shared" si="0"/>
        <v/>
      </c>
    </row>
    <row r="11" spans="1:4" x14ac:dyDescent="0.3">
      <c r="A11" s="3"/>
      <c r="B11" s="3"/>
      <c r="C11" s="3"/>
      <c r="D11" s="5" t="str">
        <f t="shared" si="0"/>
        <v/>
      </c>
    </row>
    <row r="12" spans="1:4" x14ac:dyDescent="0.3">
      <c r="A12" s="3"/>
      <c r="B12" s="3"/>
      <c r="C12" s="3"/>
      <c r="D12" s="5" t="str">
        <f t="shared" si="0"/>
        <v/>
      </c>
    </row>
    <row r="13" spans="1:4" x14ac:dyDescent="0.3">
      <c r="A13" s="3"/>
      <c r="B13" s="3"/>
      <c r="C13" s="3"/>
      <c r="D13" s="5" t="str">
        <f t="shared" si="0"/>
        <v/>
      </c>
    </row>
    <row r="14" spans="1:4" x14ac:dyDescent="0.3">
      <c r="A14" s="3"/>
      <c r="B14" s="3"/>
      <c r="C14" s="3"/>
      <c r="D14" s="5" t="str">
        <f t="shared" si="0"/>
        <v/>
      </c>
    </row>
    <row r="15" spans="1:4" x14ac:dyDescent="0.3">
      <c r="A15" s="3"/>
      <c r="B15" s="3"/>
      <c r="C15" s="3"/>
      <c r="D15" s="5" t="str">
        <f t="shared" si="0"/>
        <v/>
      </c>
    </row>
    <row r="16" spans="1:4" x14ac:dyDescent="0.3">
      <c r="A16" s="3"/>
      <c r="B16" s="3"/>
      <c r="C16" s="3"/>
      <c r="D16" s="5" t="str">
        <f t="shared" si="0"/>
        <v/>
      </c>
    </row>
    <row r="17" spans="1:4" x14ac:dyDescent="0.3">
      <c r="A17" s="3"/>
      <c r="B17" s="3"/>
      <c r="C17" s="3"/>
      <c r="D17" s="5" t="str">
        <f t="shared" si="0"/>
        <v/>
      </c>
    </row>
    <row r="18" spans="1:4" x14ac:dyDescent="0.3">
      <c r="A18" s="3"/>
      <c r="B18" s="3"/>
      <c r="C18" s="3"/>
      <c r="D18" s="5" t="str">
        <f t="shared" si="0"/>
        <v/>
      </c>
    </row>
    <row r="19" spans="1:4" x14ac:dyDescent="0.3">
      <c r="A19" s="3"/>
      <c r="B19" s="3"/>
      <c r="C19" s="3"/>
      <c r="D19" s="5" t="str">
        <f t="shared" si="0"/>
        <v/>
      </c>
    </row>
    <row r="20" spans="1:4" x14ac:dyDescent="0.3">
      <c r="A20" s="3"/>
      <c r="B20" s="3"/>
      <c r="C20" s="3"/>
      <c r="D20" s="5" t="str">
        <f t="shared" si="0"/>
        <v/>
      </c>
    </row>
    <row r="21" spans="1:4" x14ac:dyDescent="0.3">
      <c r="A21" s="3"/>
      <c r="B21" s="3"/>
      <c r="C21" s="3"/>
      <c r="D21" s="5" t="str">
        <f t="shared" si="0"/>
        <v/>
      </c>
    </row>
    <row r="22" spans="1:4" x14ac:dyDescent="0.3">
      <c r="A22" s="3"/>
      <c r="B22" s="3"/>
      <c r="C22" s="3"/>
      <c r="D22" s="5" t="str">
        <f t="shared" si="0"/>
        <v/>
      </c>
    </row>
    <row r="23" spans="1:4" x14ac:dyDescent="0.3">
      <c r="A23" s="3"/>
      <c r="B23" s="3"/>
      <c r="C23" s="3"/>
      <c r="D23" s="5" t="str">
        <f t="shared" si="0"/>
        <v/>
      </c>
    </row>
    <row r="24" spans="1:4" x14ac:dyDescent="0.3">
      <c r="A24" s="3"/>
      <c r="B24" s="3"/>
      <c r="C24" s="3"/>
      <c r="D24" s="5" t="str">
        <f t="shared" si="0"/>
        <v/>
      </c>
    </row>
    <row r="25" spans="1:4" x14ac:dyDescent="0.3">
      <c r="A25" s="3"/>
      <c r="B25" s="3"/>
      <c r="C25" s="3"/>
      <c r="D25" s="5" t="str">
        <f t="shared" si="0"/>
        <v/>
      </c>
    </row>
    <row r="26" spans="1:4" x14ac:dyDescent="0.3">
      <c r="A26" s="3"/>
      <c r="B26" s="3"/>
      <c r="C26" s="3"/>
      <c r="D26" s="5" t="str">
        <f t="shared" si="0"/>
        <v/>
      </c>
    </row>
    <row r="27" spans="1:4" x14ac:dyDescent="0.3">
      <c r="A27" s="3"/>
      <c r="B27" s="3"/>
      <c r="C27" s="3"/>
      <c r="D27" s="5" t="str">
        <f t="shared" si="0"/>
        <v/>
      </c>
    </row>
    <row r="28" spans="1:4" x14ac:dyDescent="0.3">
      <c r="A28" s="3"/>
      <c r="B28" s="3"/>
      <c r="C28" s="3"/>
      <c r="D28" s="5" t="str">
        <f t="shared" si="0"/>
        <v/>
      </c>
    </row>
    <row r="29" spans="1:4" x14ac:dyDescent="0.3">
      <c r="A29" s="3"/>
      <c r="B29" s="3"/>
      <c r="C29" s="3"/>
      <c r="D29" s="5" t="str">
        <f t="shared" si="0"/>
        <v/>
      </c>
    </row>
    <row r="30" spans="1:4" x14ac:dyDescent="0.3">
      <c r="A30" s="3"/>
      <c r="B30" s="3"/>
      <c r="C30" s="3"/>
      <c r="D30" s="5" t="str">
        <f t="shared" si="0"/>
        <v/>
      </c>
    </row>
    <row r="31" spans="1:4" x14ac:dyDescent="0.3">
      <c r="A31" s="3"/>
      <c r="B31" s="3"/>
      <c r="C31" s="3"/>
      <c r="D31" s="5" t="str">
        <f t="shared" si="0"/>
        <v/>
      </c>
    </row>
    <row r="32" spans="1:4" x14ac:dyDescent="0.3">
      <c r="A32" s="3"/>
      <c r="B32" s="3"/>
      <c r="C32" s="3"/>
      <c r="D32" s="5" t="str">
        <f t="shared" si="0"/>
        <v/>
      </c>
    </row>
    <row r="33" spans="1:4" x14ac:dyDescent="0.3">
      <c r="A33" s="3"/>
      <c r="B33" s="3"/>
      <c r="C33" s="3"/>
      <c r="D33" s="5" t="str">
        <f t="shared" si="0"/>
        <v/>
      </c>
    </row>
    <row r="34" spans="1:4" x14ac:dyDescent="0.3">
      <c r="A34" s="3"/>
      <c r="B34" s="3"/>
      <c r="C34" s="3"/>
      <c r="D34" s="5" t="str">
        <f t="shared" si="0"/>
        <v/>
      </c>
    </row>
    <row r="35" spans="1:4" x14ac:dyDescent="0.3">
      <c r="A35" s="3"/>
      <c r="B35" s="3"/>
      <c r="C35" s="3"/>
      <c r="D35" s="5" t="str">
        <f t="shared" si="0"/>
        <v/>
      </c>
    </row>
    <row r="36" spans="1:4" x14ac:dyDescent="0.3">
      <c r="A36" s="3"/>
      <c r="B36" s="3"/>
      <c r="C36" s="3"/>
      <c r="D36" s="5" t="str">
        <f t="shared" si="0"/>
        <v/>
      </c>
    </row>
    <row r="37" spans="1:4" x14ac:dyDescent="0.3">
      <c r="A37" s="3"/>
      <c r="B37" s="3"/>
      <c r="C37" s="3"/>
      <c r="D37" s="5" t="str">
        <f t="shared" si="0"/>
        <v/>
      </c>
    </row>
    <row r="38" spans="1:4" x14ac:dyDescent="0.3">
      <c r="A38" s="3"/>
      <c r="B38" s="3"/>
      <c r="C38" s="3"/>
      <c r="D38" s="5" t="str">
        <f t="shared" si="0"/>
        <v/>
      </c>
    </row>
    <row r="39" spans="1:4" x14ac:dyDescent="0.3">
      <c r="A39" s="3"/>
      <c r="B39" s="3"/>
      <c r="C39" s="3"/>
      <c r="D39" s="5" t="str">
        <f t="shared" si="0"/>
        <v/>
      </c>
    </row>
    <row r="40" spans="1:4" x14ac:dyDescent="0.3">
      <c r="A40" s="3"/>
      <c r="B40" s="3"/>
      <c r="C40" s="3"/>
      <c r="D40" s="5" t="str">
        <f t="shared" si="0"/>
        <v/>
      </c>
    </row>
    <row r="41" spans="1:4" x14ac:dyDescent="0.3">
      <c r="A41" s="3"/>
      <c r="B41" s="3"/>
      <c r="C41" s="3"/>
      <c r="D41" s="5" t="str">
        <f t="shared" si="0"/>
        <v/>
      </c>
    </row>
    <row r="42" spans="1:4" x14ac:dyDescent="0.3">
      <c r="A42" s="3"/>
      <c r="B42" s="3"/>
      <c r="C42" s="3"/>
      <c r="D42" s="5" t="str">
        <f t="shared" si="0"/>
        <v/>
      </c>
    </row>
    <row r="43" spans="1:4" x14ac:dyDescent="0.3">
      <c r="A43" s="3"/>
      <c r="B43" s="3"/>
      <c r="C43" s="3"/>
      <c r="D43" s="5" t="str">
        <f t="shared" si="0"/>
        <v/>
      </c>
    </row>
    <row r="44" spans="1:4" x14ac:dyDescent="0.3">
      <c r="A44" s="3"/>
      <c r="B44" s="3"/>
      <c r="C44" s="3"/>
      <c r="D44" s="5" t="str">
        <f t="shared" si="0"/>
        <v/>
      </c>
    </row>
    <row r="45" spans="1:4" x14ac:dyDescent="0.3">
      <c r="A45" s="3"/>
      <c r="B45" s="3"/>
      <c r="C45" s="3"/>
      <c r="D45" s="5" t="str">
        <f t="shared" si="0"/>
        <v/>
      </c>
    </row>
    <row r="46" spans="1:4" x14ac:dyDescent="0.3">
      <c r="A46" s="3"/>
      <c r="B46" s="3"/>
      <c r="C46" s="3"/>
      <c r="D46" s="5" t="str">
        <f t="shared" si="0"/>
        <v/>
      </c>
    </row>
    <row r="47" spans="1:4" x14ac:dyDescent="0.3">
      <c r="A47" s="3"/>
      <c r="B47" s="3"/>
      <c r="C47" s="3"/>
      <c r="D47" s="5" t="str">
        <f t="shared" si="0"/>
        <v/>
      </c>
    </row>
    <row r="48" spans="1:4" x14ac:dyDescent="0.3">
      <c r="A48" s="3"/>
      <c r="B48" s="3"/>
      <c r="C48" s="3"/>
      <c r="D48" s="5" t="str">
        <f t="shared" si="0"/>
        <v/>
      </c>
    </row>
    <row r="49" spans="1:4" x14ac:dyDescent="0.3">
      <c r="A49" s="3"/>
      <c r="B49" s="3"/>
      <c r="C49" s="3"/>
      <c r="D49" s="5" t="str">
        <f t="shared" si="0"/>
        <v/>
      </c>
    </row>
    <row r="50" spans="1:4" x14ac:dyDescent="0.3">
      <c r="A50" s="3"/>
      <c r="B50" s="3"/>
      <c r="C50" s="3"/>
      <c r="D50" s="5" t="str">
        <f t="shared" si="0"/>
        <v/>
      </c>
    </row>
    <row r="51" spans="1:4" x14ac:dyDescent="0.3">
      <c r="A51" s="3"/>
      <c r="B51" s="3"/>
      <c r="C51" s="3"/>
      <c r="D51" s="5" t="str">
        <f t="shared" si="0"/>
        <v/>
      </c>
    </row>
    <row r="52" spans="1:4" x14ac:dyDescent="0.3">
      <c r="A52" s="3"/>
      <c r="B52" s="3"/>
      <c r="C52" s="3"/>
      <c r="D52" s="5" t="str">
        <f t="shared" si="0"/>
        <v/>
      </c>
    </row>
    <row r="53" spans="1:4" x14ac:dyDescent="0.3">
      <c r="A53" s="3"/>
      <c r="B53" s="3"/>
      <c r="C53" s="3"/>
      <c r="D53" s="5" t="str">
        <f t="shared" si="0"/>
        <v/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ref="D66:D129" si="1">IF(AND(A66 &lt;&gt; "", B66 &lt;&gt; ""), _xlfn.CONCAT(A66, ".Containers.", SUBSTITUTE(B66," ","")), "")</f>
        <v/>
      </c>
    </row>
    <row r="67" spans="1:4" x14ac:dyDescent="0.3">
      <c r="A67" s="3"/>
      <c r="B67" s="3"/>
      <c r="C67" s="3"/>
      <c r="D67" s="5" t="str">
        <f t="shared" si="1"/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ref="D130:D193" si="2">IF(AND(A130 &lt;&gt; "", B130 &lt;&gt; ""), _xlfn.CONCAT(A130, ".Containers.", SUBSTITUTE(B130," ","")), "")</f>
        <v/>
      </c>
    </row>
    <row r="131" spans="1:4" x14ac:dyDescent="0.3">
      <c r="A131" s="3"/>
      <c r="B131" s="3"/>
      <c r="C131" s="3"/>
      <c r="D131" s="5" t="str">
        <f t="shared" si="2"/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ref="D194:D257" si="3">IF(AND(A194 &lt;&gt; "", B194 &lt;&gt; ""), _xlfn.CONCAT(A194, ".Containers.", SUBSTITUTE(B194," ","")), "")</f>
        <v/>
      </c>
    </row>
    <row r="195" spans="1:4" x14ac:dyDescent="0.3">
      <c r="A195" s="3"/>
      <c r="B195" s="3"/>
      <c r="C195" s="3"/>
      <c r="D195" s="5" t="str">
        <f t="shared" si="3"/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ref="D258:D291" si="4">IF(AND(A258 &lt;&gt; "", B258 &lt;&gt; ""), _xlfn.CONCAT(A258, ".Containers.", SUBSTITUTE(B258," ","")), "")</f>
        <v/>
      </c>
    </row>
    <row r="259" spans="1:4" x14ac:dyDescent="0.3">
      <c r="A259" s="3"/>
      <c r="B259" s="3"/>
      <c r="C259" s="3"/>
      <c r="D259" s="5" t="str">
        <f t="shared" si="4"/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duplicateValues" dxfId="10" priority="2"/>
    <cfRule type="containsBlanks" priority="1" stopIfTrue="1">
      <formula>LEN(TRIM(D2))=0</formula>
    </cfRule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Systems'!$C$2:$C$290</xm:f>
          </x14:formula1>
          <xm:sqref>A2:A293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A13" sqref="A13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38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 t="shared" ref="C2:C65" si="0">IF(AND(A2 &lt;&gt; "", B2 &lt;&gt; ""), _xlfn.CONCAT(A2, ".Interfaces.", SUBSTITUTE(SUBSTITUTE(B2," ",""), "-", "")),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ref="C66:C128" si="1">IF(AND(A66 &lt;&gt; "", B66 &lt;&gt; ""), _xlfn.CONCAT(A66, ".Interfaces.", SUBSTITUTE(SUBSTITUTE(B66," ",""), "-", "")), "")</f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ref="C129:C192" si="2">IF(AND(A129 &lt;&gt; "", B129 &lt;&gt; ""), _xlfn.CONCAT(A129, ".Interfaces.", SUBSTITUTE(SUBSTITUTE(B129," ",""), "-", "")), "")</f>
        <v/>
      </c>
    </row>
    <row r="130" spans="1:3" x14ac:dyDescent="0.3">
      <c r="A130" s="3"/>
      <c r="B130" s="3"/>
      <c r="C130" s="5" t="str">
        <f t="shared" si="2"/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ref="C193:C256" si="3">IF(AND(A193 &lt;&gt; "", B193 &lt;&gt; ""), _xlfn.CONCAT(A193, ".Interfaces.", SUBSTITUTE(SUBSTITUTE(B193," ",""), "-", "")), "")</f>
        <v/>
      </c>
    </row>
    <row r="194" spans="1:3" x14ac:dyDescent="0.3">
      <c r="A194" s="3"/>
      <c r="B194" s="3"/>
      <c r="C194" s="5" t="str">
        <f t="shared" si="3"/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ref="C257:C320" si="4">IF(AND(A257 &lt;&gt; "", B257 &lt;&gt; ""), _xlfn.CONCAT(A257, ".Interfaces.", SUBSTITUTE(SUBSTITUTE(B257," ",""), "-", "")), "")</f>
        <v/>
      </c>
    </row>
    <row r="258" spans="1:3" x14ac:dyDescent="0.3">
      <c r="A258" s="3"/>
      <c r="B258" s="3"/>
      <c r="C258" s="5" t="str">
        <f t="shared" si="4"/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ref="C321:C384" si="5">IF(AND(A321 &lt;&gt; "", B321 &lt;&gt; ""), _xlfn.CONCAT(A321, ".Interfaces.", SUBSTITUTE(SUBSTITUTE(B321," ",""), "-", "")), "")</f>
        <v/>
      </c>
    </row>
    <row r="322" spans="1:3" x14ac:dyDescent="0.3">
      <c r="A322" s="3"/>
      <c r="B322" s="3"/>
      <c r="C322" s="5" t="str">
        <f t="shared" si="5"/>
        <v/>
      </c>
    </row>
    <row r="323" spans="1:3" x14ac:dyDescent="0.3">
      <c r="A323" s="3"/>
      <c r="B323" s="3"/>
      <c r="C323" s="5" t="str">
        <f t="shared" si="5"/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ref="C385:C448" si="6">IF(AND(A385 &lt;&gt; "", B385 &lt;&gt; ""), _xlfn.CONCAT(A385, ".Interfaces.", SUBSTITUTE(SUBSTITUTE(B385," ",""), "-", "")), "")</f>
        <v/>
      </c>
    </row>
    <row r="386" spans="1:3" x14ac:dyDescent="0.3">
      <c r="A386" s="3"/>
      <c r="B386" s="3"/>
      <c r="C386" s="5" t="str">
        <f t="shared" si="6"/>
        <v/>
      </c>
    </row>
    <row r="387" spans="1:3" x14ac:dyDescent="0.3">
      <c r="A387" s="3"/>
      <c r="B387" s="3"/>
      <c r="C387" s="5" t="str">
        <f t="shared" si="6"/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ref="C449:C512" si="7">IF(AND(A449 &lt;&gt; "", B449 &lt;&gt; ""), _xlfn.CONCAT(A449, ".Interfaces.", SUBSTITUTE(SUBSTITUTE(B449," ",""), "-", "")), "")</f>
        <v/>
      </c>
    </row>
    <row r="450" spans="1:3" x14ac:dyDescent="0.3">
      <c r="A450" s="3"/>
      <c r="B450" s="3"/>
      <c r="C450" s="5" t="str">
        <f t="shared" si="7"/>
        <v/>
      </c>
    </row>
    <row r="451" spans="1:3" x14ac:dyDescent="0.3">
      <c r="A451" s="3"/>
      <c r="B451" s="3"/>
      <c r="C451" s="5" t="str">
        <f t="shared" si="7"/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ref="C513:C576" si="8">IF(AND(A513 &lt;&gt; "", B513 &lt;&gt; ""), _xlfn.CONCAT(A513, ".Interfaces.", SUBSTITUTE(SUBSTITUTE(B513," ",""), "-", "")), "")</f>
        <v/>
      </c>
    </row>
    <row r="514" spans="1:3" x14ac:dyDescent="0.3">
      <c r="A514" s="3"/>
      <c r="B514" s="3"/>
      <c r="C514" s="5" t="str">
        <f t="shared" si="8"/>
        <v/>
      </c>
    </row>
    <row r="515" spans="1:3" x14ac:dyDescent="0.3">
      <c r="A515" s="3"/>
      <c r="B515" s="3"/>
      <c r="C515" s="5" t="str">
        <f t="shared" si="8"/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ref="C577:C634" si="9">IF(AND(A577 &lt;&gt; "", B577 &lt;&gt; ""), _xlfn.CONCAT(A577, ".Interfaces.", SUBSTITUTE(SUBSTITUTE(B577," ",""), "-", "")), "")</f>
        <v/>
      </c>
    </row>
    <row r="578" spans="1:3" x14ac:dyDescent="0.3">
      <c r="A578" s="3"/>
      <c r="B578" s="3"/>
      <c r="C578" s="5" t="str">
        <f t="shared" si="9"/>
        <v/>
      </c>
    </row>
    <row r="579" spans="1:3" x14ac:dyDescent="0.3">
      <c r="A579" s="3"/>
      <c r="B579" s="3"/>
      <c r="C579" s="5" t="str">
        <f t="shared" si="9"/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duplicateValues" dxfId="9" priority="53"/>
    <cfRule type="containsBlanks" priority="1" stopIfTrue="1">
      <formula>LEN(TRIM(C2))=0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E1" sqref="E1"/>
    </sheetView>
  </sheetViews>
  <sheetFormatPr defaultColWidth="8.6640625" defaultRowHeight="14.4" x14ac:dyDescent="0.3"/>
  <cols>
    <col min="1" max="1" width="91.44140625" bestFit="1" customWidth="1"/>
    <col min="2" max="2" width="90" bestFit="1" customWidth="1"/>
    <col min="3" max="3" width="6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7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F21" sqref="F21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/>
      <c r="B2" s="3"/>
      <c r="C2" s="5" t="str">
        <f t="shared" ref="C2:C21" si="0">IF(A2 &lt;&gt; "", SUBSTITUTE(SUBSTITUTE(A2, " ", ""), "&amp;", "And"),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ref="C22:C84" si="1">IF(A22 &lt;&gt; "", SUBSTITUTE(SUBSTITUTE(A22, " ", ""), "&amp;", "And"), "")</f>
        <v/>
      </c>
    </row>
    <row r="23" spans="1:3" x14ac:dyDescent="0.3">
      <c r="A23" s="3"/>
      <c r="B23" s="3"/>
      <c r="C23" s="5" t="str">
        <f t="shared" si="1"/>
        <v/>
      </c>
    </row>
    <row r="24" spans="1:3" x14ac:dyDescent="0.3">
      <c r="A24" s="3"/>
      <c r="B24" s="3"/>
      <c r="C24" s="5" t="str">
        <f t="shared" si="1"/>
        <v/>
      </c>
    </row>
    <row r="25" spans="1:3" x14ac:dyDescent="0.3">
      <c r="A25" s="3"/>
      <c r="B25" s="3"/>
      <c r="C25" s="5" t="str">
        <f t="shared" si="1"/>
        <v/>
      </c>
    </row>
    <row r="26" spans="1:3" x14ac:dyDescent="0.3">
      <c r="A26" s="3"/>
      <c r="B26" s="3"/>
      <c r="C26" s="5" t="str">
        <f t="shared" si="1"/>
        <v/>
      </c>
    </row>
    <row r="27" spans="1:3" x14ac:dyDescent="0.3">
      <c r="A27" s="3"/>
      <c r="B27" s="3"/>
      <c r="C27" s="5" t="str">
        <f t="shared" si="1"/>
        <v/>
      </c>
    </row>
    <row r="28" spans="1:3" x14ac:dyDescent="0.3">
      <c r="A28" s="3"/>
      <c r="B28" s="3"/>
      <c r="C28" s="5" t="str">
        <f t="shared" si="1"/>
        <v/>
      </c>
    </row>
    <row r="29" spans="1:3" x14ac:dyDescent="0.3">
      <c r="A29" s="3"/>
      <c r="B29" s="3"/>
      <c r="C29" s="5" t="str">
        <f t="shared" si="1"/>
        <v/>
      </c>
    </row>
    <row r="30" spans="1:3" x14ac:dyDescent="0.3">
      <c r="A30" s="3"/>
      <c r="B30" s="3"/>
      <c r="C30" s="5" t="str">
        <f t="shared" si="1"/>
        <v/>
      </c>
    </row>
    <row r="31" spans="1:3" x14ac:dyDescent="0.3">
      <c r="A31" s="3"/>
      <c r="B31" s="3"/>
      <c r="C31" s="5" t="str">
        <f t="shared" si="1"/>
        <v/>
      </c>
    </row>
    <row r="32" spans="1:3" x14ac:dyDescent="0.3">
      <c r="A32" s="3"/>
      <c r="B32" s="3"/>
      <c r="C32" s="5" t="str">
        <f t="shared" si="1"/>
        <v/>
      </c>
    </row>
    <row r="33" spans="1:3" x14ac:dyDescent="0.3">
      <c r="A33" s="3"/>
      <c r="B33" s="3"/>
      <c r="C33" s="5" t="str">
        <f t="shared" si="1"/>
        <v/>
      </c>
    </row>
    <row r="34" spans="1:3" x14ac:dyDescent="0.3">
      <c r="A34" s="3"/>
      <c r="B34" s="3"/>
      <c r="C34" s="5" t="str">
        <f t="shared" si="1"/>
        <v/>
      </c>
    </row>
    <row r="35" spans="1:3" x14ac:dyDescent="0.3">
      <c r="A35" s="3"/>
      <c r="B35" s="3"/>
      <c r="C35" s="5" t="str">
        <f t="shared" si="1"/>
        <v/>
      </c>
    </row>
    <row r="36" spans="1:3" x14ac:dyDescent="0.3">
      <c r="A36" s="3"/>
      <c r="B36" s="3"/>
      <c r="C36" s="5" t="str">
        <f t="shared" si="1"/>
        <v/>
      </c>
    </row>
    <row r="37" spans="1:3" x14ac:dyDescent="0.3">
      <c r="A37" s="3"/>
      <c r="B37" s="3"/>
      <c r="C37" s="5" t="str">
        <f t="shared" si="1"/>
        <v/>
      </c>
    </row>
    <row r="38" spans="1:3" x14ac:dyDescent="0.3">
      <c r="A38" s="3"/>
      <c r="B38" s="3"/>
      <c r="C38" s="5" t="str">
        <f t="shared" si="1"/>
        <v/>
      </c>
    </row>
    <row r="39" spans="1:3" x14ac:dyDescent="0.3">
      <c r="A39" s="3"/>
      <c r="B39" s="3"/>
      <c r="C39" s="5" t="str">
        <f t="shared" si="1"/>
        <v/>
      </c>
    </row>
    <row r="40" spans="1:3" x14ac:dyDescent="0.3">
      <c r="A40" s="3"/>
      <c r="B40" s="3"/>
      <c r="C40" s="5" t="str">
        <f t="shared" si="1"/>
        <v/>
      </c>
    </row>
    <row r="41" spans="1:3" x14ac:dyDescent="0.3">
      <c r="A41" s="3"/>
      <c r="B41" s="3"/>
      <c r="C41" s="5" t="str">
        <f t="shared" si="1"/>
        <v/>
      </c>
    </row>
    <row r="42" spans="1:3" x14ac:dyDescent="0.3">
      <c r="A42" s="3"/>
      <c r="B42" s="3"/>
      <c r="C42" s="5" t="str">
        <f t="shared" si="1"/>
        <v/>
      </c>
    </row>
    <row r="43" spans="1:3" x14ac:dyDescent="0.3">
      <c r="A43" s="3"/>
      <c r="B43" s="3"/>
      <c r="C43" s="5" t="str">
        <f t="shared" si="1"/>
        <v/>
      </c>
    </row>
    <row r="44" spans="1:3" x14ac:dyDescent="0.3">
      <c r="A44" s="3"/>
      <c r="B44" s="3"/>
      <c r="C44" s="5" t="str">
        <f t="shared" si="1"/>
        <v/>
      </c>
    </row>
    <row r="45" spans="1:3" x14ac:dyDescent="0.3">
      <c r="A45" s="3"/>
      <c r="B45" s="3"/>
      <c r="C45" s="5" t="str">
        <f t="shared" si="1"/>
        <v/>
      </c>
    </row>
    <row r="46" spans="1:3" x14ac:dyDescent="0.3">
      <c r="A46" s="3"/>
      <c r="B46" s="3"/>
      <c r="C46" s="5" t="str">
        <f t="shared" si="1"/>
        <v/>
      </c>
    </row>
    <row r="47" spans="1:3" x14ac:dyDescent="0.3">
      <c r="A47" s="3"/>
      <c r="B47" s="3"/>
      <c r="C47" s="5" t="str">
        <f t="shared" si="1"/>
        <v/>
      </c>
    </row>
    <row r="48" spans="1:3" x14ac:dyDescent="0.3">
      <c r="A48" s="3"/>
      <c r="B48" s="3"/>
      <c r="C48" s="5" t="str">
        <f t="shared" si="1"/>
        <v/>
      </c>
    </row>
    <row r="49" spans="1:3" x14ac:dyDescent="0.3">
      <c r="A49" s="3"/>
      <c r="B49" s="3"/>
      <c r="C49" s="5" t="str">
        <f t="shared" si="1"/>
        <v/>
      </c>
    </row>
    <row r="50" spans="1:3" x14ac:dyDescent="0.3">
      <c r="A50" s="3"/>
      <c r="B50" s="3"/>
      <c r="C50" s="5" t="str">
        <f t="shared" si="1"/>
        <v/>
      </c>
    </row>
    <row r="51" spans="1:3" x14ac:dyDescent="0.3">
      <c r="C51" t="str">
        <f t="shared" si="1"/>
        <v/>
      </c>
    </row>
    <row r="52" spans="1:3" x14ac:dyDescent="0.3">
      <c r="C52" t="str">
        <f t="shared" si="1"/>
        <v/>
      </c>
    </row>
    <row r="53" spans="1:3" x14ac:dyDescent="0.3">
      <c r="C53" t="str">
        <f t="shared" si="1"/>
        <v/>
      </c>
    </row>
    <row r="54" spans="1:3" x14ac:dyDescent="0.3">
      <c r="C54" t="str">
        <f t="shared" si="1"/>
        <v/>
      </c>
    </row>
    <row r="55" spans="1:3" x14ac:dyDescent="0.3">
      <c r="C55" t="str">
        <f t="shared" si="1"/>
        <v/>
      </c>
    </row>
    <row r="56" spans="1:3" x14ac:dyDescent="0.3">
      <c r="C56" t="str">
        <f t="shared" si="1"/>
        <v/>
      </c>
    </row>
    <row r="57" spans="1:3" x14ac:dyDescent="0.3">
      <c r="C57" t="str">
        <f t="shared" si="1"/>
        <v/>
      </c>
    </row>
    <row r="58" spans="1:3" x14ac:dyDescent="0.3">
      <c r="C58" t="str">
        <f t="shared" si="1"/>
        <v/>
      </c>
    </row>
    <row r="59" spans="1:3" x14ac:dyDescent="0.3">
      <c r="C59" t="str">
        <f t="shared" si="1"/>
        <v/>
      </c>
    </row>
    <row r="60" spans="1:3" x14ac:dyDescent="0.3">
      <c r="C60" t="str">
        <f t="shared" si="1"/>
        <v/>
      </c>
    </row>
    <row r="61" spans="1:3" x14ac:dyDescent="0.3">
      <c r="C61" t="str">
        <f t="shared" si="1"/>
        <v/>
      </c>
    </row>
    <row r="62" spans="1:3" x14ac:dyDescent="0.3">
      <c r="C62" t="str">
        <f t="shared" si="1"/>
        <v/>
      </c>
    </row>
    <row r="63" spans="1:3" x14ac:dyDescent="0.3">
      <c r="C63" t="str">
        <f t="shared" si="1"/>
        <v/>
      </c>
    </row>
    <row r="64" spans="1:3" x14ac:dyDescent="0.3">
      <c r="C64" t="str">
        <f t="shared" si="1"/>
        <v/>
      </c>
    </row>
    <row r="65" spans="3:3" x14ac:dyDescent="0.3">
      <c r="C65" t="str">
        <f t="shared" si="1"/>
        <v/>
      </c>
    </row>
    <row r="66" spans="3:3" x14ac:dyDescent="0.3">
      <c r="C66" t="str">
        <f t="shared" si="1"/>
        <v/>
      </c>
    </row>
    <row r="67" spans="3:3" x14ac:dyDescent="0.3">
      <c r="C67" t="str">
        <f t="shared" si="1"/>
        <v/>
      </c>
    </row>
    <row r="68" spans="3:3" x14ac:dyDescent="0.3">
      <c r="C68" t="str">
        <f t="shared" si="1"/>
        <v/>
      </c>
    </row>
    <row r="69" spans="3:3" x14ac:dyDescent="0.3">
      <c r="C69" t="str">
        <f t="shared" si="1"/>
        <v/>
      </c>
    </row>
    <row r="70" spans="3:3" x14ac:dyDescent="0.3">
      <c r="C70" t="str">
        <f t="shared" si="1"/>
        <v/>
      </c>
    </row>
    <row r="71" spans="3:3" x14ac:dyDescent="0.3">
      <c r="C71" t="str">
        <f t="shared" si="1"/>
        <v/>
      </c>
    </row>
    <row r="72" spans="3:3" x14ac:dyDescent="0.3">
      <c r="C72" t="str">
        <f t="shared" si="1"/>
        <v/>
      </c>
    </row>
    <row r="73" spans="3:3" x14ac:dyDescent="0.3">
      <c r="C73" t="str">
        <f t="shared" si="1"/>
        <v/>
      </c>
    </row>
    <row r="74" spans="3:3" x14ac:dyDescent="0.3">
      <c r="C74" t="str">
        <f t="shared" si="1"/>
        <v/>
      </c>
    </row>
    <row r="75" spans="3:3" x14ac:dyDescent="0.3">
      <c r="C75" t="str">
        <f t="shared" si="1"/>
        <v/>
      </c>
    </row>
    <row r="76" spans="3:3" x14ac:dyDescent="0.3">
      <c r="C76" t="str">
        <f t="shared" si="1"/>
        <v/>
      </c>
    </row>
    <row r="77" spans="3:3" x14ac:dyDescent="0.3">
      <c r="C77" t="str">
        <f t="shared" si="1"/>
        <v/>
      </c>
    </row>
    <row r="78" spans="3:3" x14ac:dyDescent="0.3">
      <c r="C78" t="str">
        <f t="shared" si="1"/>
        <v/>
      </c>
    </row>
    <row r="79" spans="3:3" x14ac:dyDescent="0.3">
      <c r="C79" t="str">
        <f t="shared" si="1"/>
        <v/>
      </c>
    </row>
    <row r="80" spans="3:3" x14ac:dyDescent="0.3">
      <c r="C80" t="str">
        <f t="shared" si="1"/>
        <v/>
      </c>
    </row>
    <row r="81" spans="3:3" x14ac:dyDescent="0.3">
      <c r="C81" t="str">
        <f t="shared" si="1"/>
        <v/>
      </c>
    </row>
    <row r="82" spans="3:3" x14ac:dyDescent="0.3">
      <c r="C82" t="str">
        <f t="shared" si="1"/>
        <v/>
      </c>
    </row>
    <row r="83" spans="3:3" x14ac:dyDescent="0.3">
      <c r="C83" t="str">
        <f t="shared" si="1"/>
        <v/>
      </c>
    </row>
    <row r="84" spans="3:3" x14ac:dyDescent="0.3">
      <c r="C84" t="str">
        <f t="shared" si="1"/>
        <v/>
      </c>
    </row>
    <row r="85" spans="3:3" x14ac:dyDescent="0.3">
      <c r="C85" t="str">
        <f t="shared" ref="C85:C148" si="2">IF(A85 &lt;&gt; "", SUBSTITUTE(SUBSTITUTE(A85, " ", ""), "&amp;", "And"), "")</f>
        <v/>
      </c>
    </row>
    <row r="86" spans="3:3" x14ac:dyDescent="0.3">
      <c r="C86" t="str">
        <f t="shared" si="2"/>
        <v/>
      </c>
    </row>
    <row r="87" spans="3:3" x14ac:dyDescent="0.3">
      <c r="C87" t="str">
        <f t="shared" si="2"/>
        <v/>
      </c>
    </row>
    <row r="88" spans="3:3" x14ac:dyDescent="0.3">
      <c r="C88" t="str">
        <f t="shared" si="2"/>
        <v/>
      </c>
    </row>
    <row r="89" spans="3:3" x14ac:dyDescent="0.3">
      <c r="C89" t="str">
        <f t="shared" si="2"/>
        <v/>
      </c>
    </row>
    <row r="90" spans="3:3" x14ac:dyDescent="0.3">
      <c r="C90" t="str">
        <f t="shared" si="2"/>
        <v/>
      </c>
    </row>
    <row r="91" spans="3:3" x14ac:dyDescent="0.3">
      <c r="C91" t="str">
        <f t="shared" si="2"/>
        <v/>
      </c>
    </row>
    <row r="92" spans="3:3" x14ac:dyDescent="0.3">
      <c r="C92" t="str">
        <f t="shared" si="2"/>
        <v/>
      </c>
    </row>
    <row r="93" spans="3:3" x14ac:dyDescent="0.3">
      <c r="C93" t="str">
        <f t="shared" si="2"/>
        <v/>
      </c>
    </row>
    <row r="94" spans="3:3" x14ac:dyDescent="0.3">
      <c r="C94" t="str">
        <f t="shared" si="2"/>
        <v/>
      </c>
    </row>
    <row r="95" spans="3:3" x14ac:dyDescent="0.3">
      <c r="C95" t="str">
        <f t="shared" si="2"/>
        <v/>
      </c>
    </row>
    <row r="96" spans="3:3" x14ac:dyDescent="0.3">
      <c r="C96" t="str">
        <f t="shared" si="2"/>
        <v/>
      </c>
    </row>
    <row r="97" spans="3:3" x14ac:dyDescent="0.3">
      <c r="C97" t="str">
        <f t="shared" si="2"/>
        <v/>
      </c>
    </row>
    <row r="98" spans="3:3" x14ac:dyDescent="0.3">
      <c r="C98" t="str">
        <f t="shared" si="2"/>
        <v/>
      </c>
    </row>
    <row r="99" spans="3:3" x14ac:dyDescent="0.3">
      <c r="C99" t="str">
        <f t="shared" si="2"/>
        <v/>
      </c>
    </row>
    <row r="100" spans="3:3" x14ac:dyDescent="0.3">
      <c r="C100" t="str">
        <f t="shared" si="2"/>
        <v/>
      </c>
    </row>
    <row r="101" spans="3:3" x14ac:dyDescent="0.3">
      <c r="C101" t="str">
        <f t="shared" si="2"/>
        <v/>
      </c>
    </row>
    <row r="102" spans="3:3" x14ac:dyDescent="0.3">
      <c r="C102" t="str">
        <f t="shared" si="2"/>
        <v/>
      </c>
    </row>
    <row r="103" spans="3:3" x14ac:dyDescent="0.3">
      <c r="C103" t="str">
        <f t="shared" si="2"/>
        <v/>
      </c>
    </row>
    <row r="104" spans="3:3" x14ac:dyDescent="0.3">
      <c r="C104" t="str">
        <f t="shared" si="2"/>
        <v/>
      </c>
    </row>
    <row r="105" spans="3:3" x14ac:dyDescent="0.3">
      <c r="C105" t="str">
        <f t="shared" si="2"/>
        <v/>
      </c>
    </row>
    <row r="106" spans="3:3" x14ac:dyDescent="0.3">
      <c r="C106" t="str">
        <f t="shared" si="2"/>
        <v/>
      </c>
    </row>
    <row r="107" spans="3:3" x14ac:dyDescent="0.3">
      <c r="C107" t="str">
        <f t="shared" si="2"/>
        <v/>
      </c>
    </row>
    <row r="108" spans="3:3" x14ac:dyDescent="0.3">
      <c r="C108" t="str">
        <f t="shared" si="2"/>
        <v/>
      </c>
    </row>
    <row r="109" spans="3:3" x14ac:dyDescent="0.3">
      <c r="C109" t="str">
        <f t="shared" si="2"/>
        <v/>
      </c>
    </row>
    <row r="110" spans="3:3" x14ac:dyDescent="0.3">
      <c r="C110" t="str">
        <f t="shared" si="2"/>
        <v/>
      </c>
    </row>
    <row r="111" spans="3:3" x14ac:dyDescent="0.3">
      <c r="C111" t="str">
        <f t="shared" si="2"/>
        <v/>
      </c>
    </row>
    <row r="112" spans="3:3" x14ac:dyDescent="0.3">
      <c r="C112" t="str">
        <f t="shared" si="2"/>
        <v/>
      </c>
    </row>
    <row r="113" spans="3:3" x14ac:dyDescent="0.3">
      <c r="C113" t="str">
        <f t="shared" si="2"/>
        <v/>
      </c>
    </row>
    <row r="114" spans="3:3" x14ac:dyDescent="0.3">
      <c r="C114" t="str">
        <f t="shared" si="2"/>
        <v/>
      </c>
    </row>
    <row r="115" spans="3:3" x14ac:dyDescent="0.3">
      <c r="C115" t="str">
        <f t="shared" si="2"/>
        <v/>
      </c>
    </row>
    <row r="116" spans="3:3" x14ac:dyDescent="0.3">
      <c r="C116" t="str">
        <f t="shared" si="2"/>
        <v/>
      </c>
    </row>
    <row r="117" spans="3:3" x14ac:dyDescent="0.3">
      <c r="C117" t="str">
        <f t="shared" si="2"/>
        <v/>
      </c>
    </row>
    <row r="118" spans="3:3" x14ac:dyDescent="0.3">
      <c r="C118" t="str">
        <f t="shared" si="2"/>
        <v/>
      </c>
    </row>
    <row r="119" spans="3:3" x14ac:dyDescent="0.3">
      <c r="C119" t="str">
        <f t="shared" si="2"/>
        <v/>
      </c>
    </row>
    <row r="120" spans="3:3" x14ac:dyDescent="0.3">
      <c r="C120" t="str">
        <f t="shared" si="2"/>
        <v/>
      </c>
    </row>
    <row r="121" spans="3:3" x14ac:dyDescent="0.3">
      <c r="C121" t="str">
        <f t="shared" si="2"/>
        <v/>
      </c>
    </row>
    <row r="122" spans="3:3" x14ac:dyDescent="0.3">
      <c r="C122" t="str">
        <f t="shared" si="2"/>
        <v/>
      </c>
    </row>
    <row r="123" spans="3:3" x14ac:dyDescent="0.3">
      <c r="C123" t="str">
        <f t="shared" si="2"/>
        <v/>
      </c>
    </row>
    <row r="124" spans="3:3" x14ac:dyDescent="0.3">
      <c r="C124" t="str">
        <f t="shared" si="2"/>
        <v/>
      </c>
    </row>
    <row r="125" spans="3:3" x14ac:dyDescent="0.3">
      <c r="C125" t="str">
        <f t="shared" si="2"/>
        <v/>
      </c>
    </row>
    <row r="126" spans="3:3" x14ac:dyDescent="0.3">
      <c r="C126" t="str">
        <f t="shared" si="2"/>
        <v/>
      </c>
    </row>
    <row r="127" spans="3:3" x14ac:dyDescent="0.3">
      <c r="C127" t="str">
        <f t="shared" si="2"/>
        <v/>
      </c>
    </row>
    <row r="128" spans="3:3" x14ac:dyDescent="0.3">
      <c r="C128" t="str">
        <f t="shared" si="2"/>
        <v/>
      </c>
    </row>
    <row r="129" spans="3:3" x14ac:dyDescent="0.3">
      <c r="C129" t="str">
        <f t="shared" si="2"/>
        <v/>
      </c>
    </row>
    <row r="130" spans="3:3" x14ac:dyDescent="0.3">
      <c r="C130" t="str">
        <f t="shared" si="2"/>
        <v/>
      </c>
    </row>
    <row r="131" spans="3:3" x14ac:dyDescent="0.3">
      <c r="C131" t="str">
        <f t="shared" si="2"/>
        <v/>
      </c>
    </row>
    <row r="132" spans="3:3" x14ac:dyDescent="0.3">
      <c r="C132" t="str">
        <f t="shared" si="2"/>
        <v/>
      </c>
    </row>
    <row r="133" spans="3:3" x14ac:dyDescent="0.3">
      <c r="C133" t="str">
        <f t="shared" si="2"/>
        <v/>
      </c>
    </row>
    <row r="134" spans="3:3" x14ac:dyDescent="0.3">
      <c r="C134" t="str">
        <f t="shared" si="2"/>
        <v/>
      </c>
    </row>
    <row r="135" spans="3:3" x14ac:dyDescent="0.3">
      <c r="C135" t="str">
        <f t="shared" si="2"/>
        <v/>
      </c>
    </row>
    <row r="136" spans="3:3" x14ac:dyDescent="0.3">
      <c r="C136" t="str">
        <f t="shared" si="2"/>
        <v/>
      </c>
    </row>
    <row r="137" spans="3:3" x14ac:dyDescent="0.3">
      <c r="C137" t="str">
        <f t="shared" si="2"/>
        <v/>
      </c>
    </row>
    <row r="138" spans="3:3" x14ac:dyDescent="0.3">
      <c r="C138" t="str">
        <f t="shared" si="2"/>
        <v/>
      </c>
    </row>
    <row r="139" spans="3:3" x14ac:dyDescent="0.3">
      <c r="C139" t="str">
        <f t="shared" si="2"/>
        <v/>
      </c>
    </row>
    <row r="140" spans="3:3" x14ac:dyDescent="0.3">
      <c r="C140" t="str">
        <f t="shared" si="2"/>
        <v/>
      </c>
    </row>
    <row r="141" spans="3:3" x14ac:dyDescent="0.3">
      <c r="C141" t="str">
        <f t="shared" si="2"/>
        <v/>
      </c>
    </row>
    <row r="142" spans="3:3" x14ac:dyDescent="0.3">
      <c r="C142" t="str">
        <f t="shared" si="2"/>
        <v/>
      </c>
    </row>
    <row r="143" spans="3:3" x14ac:dyDescent="0.3">
      <c r="C143" t="str">
        <f t="shared" si="2"/>
        <v/>
      </c>
    </row>
    <row r="144" spans="3:3" x14ac:dyDescent="0.3">
      <c r="C144" t="str">
        <f t="shared" si="2"/>
        <v/>
      </c>
    </row>
    <row r="145" spans="3:3" x14ac:dyDescent="0.3">
      <c r="C145" t="str">
        <f t="shared" si="2"/>
        <v/>
      </c>
    </row>
    <row r="146" spans="3:3" x14ac:dyDescent="0.3">
      <c r="C146" t="str">
        <f t="shared" si="2"/>
        <v/>
      </c>
    </row>
    <row r="147" spans="3:3" x14ac:dyDescent="0.3">
      <c r="C147" t="str">
        <f t="shared" si="2"/>
        <v/>
      </c>
    </row>
    <row r="148" spans="3:3" x14ac:dyDescent="0.3">
      <c r="C148" t="str">
        <f t="shared" si="2"/>
        <v/>
      </c>
    </row>
    <row r="149" spans="3:3" x14ac:dyDescent="0.3">
      <c r="C149" t="str">
        <f t="shared" ref="C149:C212" si="3">IF(A149 &lt;&gt; "", SUBSTITUTE(SUBSTITUTE(A149, " ", ""), "&amp;", "And"), "")</f>
        <v/>
      </c>
    </row>
    <row r="150" spans="3:3" x14ac:dyDescent="0.3">
      <c r="C150" t="str">
        <f t="shared" si="3"/>
        <v/>
      </c>
    </row>
    <row r="151" spans="3:3" x14ac:dyDescent="0.3">
      <c r="C151" t="str">
        <f t="shared" si="3"/>
        <v/>
      </c>
    </row>
    <row r="152" spans="3:3" x14ac:dyDescent="0.3">
      <c r="C152" t="str">
        <f t="shared" si="3"/>
        <v/>
      </c>
    </row>
    <row r="153" spans="3:3" x14ac:dyDescent="0.3">
      <c r="C153" t="str">
        <f t="shared" si="3"/>
        <v/>
      </c>
    </row>
    <row r="154" spans="3:3" x14ac:dyDescent="0.3">
      <c r="C154" t="str">
        <f t="shared" si="3"/>
        <v/>
      </c>
    </row>
    <row r="155" spans="3:3" x14ac:dyDescent="0.3">
      <c r="C155" t="str">
        <f t="shared" si="3"/>
        <v/>
      </c>
    </row>
    <row r="156" spans="3:3" x14ac:dyDescent="0.3">
      <c r="C156" t="str">
        <f t="shared" si="3"/>
        <v/>
      </c>
    </row>
    <row r="157" spans="3:3" x14ac:dyDescent="0.3">
      <c r="C157" t="str">
        <f t="shared" si="3"/>
        <v/>
      </c>
    </row>
    <row r="158" spans="3:3" x14ac:dyDescent="0.3">
      <c r="C158" t="str">
        <f t="shared" si="3"/>
        <v/>
      </c>
    </row>
    <row r="159" spans="3:3" x14ac:dyDescent="0.3">
      <c r="C159" t="str">
        <f t="shared" si="3"/>
        <v/>
      </c>
    </row>
    <row r="160" spans="3:3" x14ac:dyDescent="0.3">
      <c r="C160" t="str">
        <f t="shared" si="3"/>
        <v/>
      </c>
    </row>
    <row r="161" spans="3:3" x14ac:dyDescent="0.3">
      <c r="C161" t="str">
        <f t="shared" si="3"/>
        <v/>
      </c>
    </row>
    <row r="162" spans="3:3" x14ac:dyDescent="0.3">
      <c r="C162" t="str">
        <f t="shared" si="3"/>
        <v/>
      </c>
    </row>
    <row r="163" spans="3:3" x14ac:dyDescent="0.3">
      <c r="C163" t="str">
        <f t="shared" si="3"/>
        <v/>
      </c>
    </row>
    <row r="164" spans="3:3" x14ac:dyDescent="0.3">
      <c r="C164" t="str">
        <f t="shared" si="3"/>
        <v/>
      </c>
    </row>
    <row r="165" spans="3:3" x14ac:dyDescent="0.3">
      <c r="C165" t="str">
        <f t="shared" si="3"/>
        <v/>
      </c>
    </row>
    <row r="166" spans="3:3" x14ac:dyDescent="0.3">
      <c r="C166" t="str">
        <f t="shared" si="3"/>
        <v/>
      </c>
    </row>
    <row r="167" spans="3:3" x14ac:dyDescent="0.3">
      <c r="C167" t="str">
        <f t="shared" si="3"/>
        <v/>
      </c>
    </row>
    <row r="168" spans="3:3" x14ac:dyDescent="0.3">
      <c r="C168" t="str">
        <f t="shared" si="3"/>
        <v/>
      </c>
    </row>
    <row r="169" spans="3:3" x14ac:dyDescent="0.3">
      <c r="C169" t="str">
        <f t="shared" si="3"/>
        <v/>
      </c>
    </row>
    <row r="170" spans="3:3" x14ac:dyDescent="0.3">
      <c r="C170" t="str">
        <f t="shared" si="3"/>
        <v/>
      </c>
    </row>
    <row r="171" spans="3:3" x14ac:dyDescent="0.3">
      <c r="C171" t="str">
        <f t="shared" si="3"/>
        <v/>
      </c>
    </row>
    <row r="172" spans="3:3" x14ac:dyDescent="0.3">
      <c r="C172" t="str">
        <f t="shared" si="3"/>
        <v/>
      </c>
    </row>
    <row r="173" spans="3:3" x14ac:dyDescent="0.3">
      <c r="C173" t="str">
        <f t="shared" si="3"/>
        <v/>
      </c>
    </row>
    <row r="174" spans="3:3" x14ac:dyDescent="0.3">
      <c r="C174" t="str">
        <f t="shared" si="3"/>
        <v/>
      </c>
    </row>
    <row r="175" spans="3:3" x14ac:dyDescent="0.3">
      <c r="C175" t="str">
        <f t="shared" si="3"/>
        <v/>
      </c>
    </row>
    <row r="176" spans="3:3" x14ac:dyDescent="0.3">
      <c r="C176" t="str">
        <f t="shared" si="3"/>
        <v/>
      </c>
    </row>
    <row r="177" spans="3:3" x14ac:dyDescent="0.3">
      <c r="C177" t="str">
        <f t="shared" si="3"/>
        <v/>
      </c>
    </row>
    <row r="178" spans="3:3" x14ac:dyDescent="0.3">
      <c r="C178" t="str">
        <f t="shared" si="3"/>
        <v/>
      </c>
    </row>
    <row r="179" spans="3:3" x14ac:dyDescent="0.3">
      <c r="C179" t="str">
        <f t="shared" si="3"/>
        <v/>
      </c>
    </row>
    <row r="180" spans="3:3" x14ac:dyDescent="0.3">
      <c r="C180" t="str">
        <f t="shared" si="3"/>
        <v/>
      </c>
    </row>
    <row r="181" spans="3:3" x14ac:dyDescent="0.3">
      <c r="C181" t="str">
        <f t="shared" si="3"/>
        <v/>
      </c>
    </row>
    <row r="182" spans="3:3" x14ac:dyDescent="0.3">
      <c r="C182" t="str">
        <f t="shared" si="3"/>
        <v/>
      </c>
    </row>
    <row r="183" spans="3:3" x14ac:dyDescent="0.3">
      <c r="C183" t="str">
        <f t="shared" si="3"/>
        <v/>
      </c>
    </row>
    <row r="184" spans="3:3" x14ac:dyDescent="0.3">
      <c r="C184" t="str">
        <f t="shared" si="3"/>
        <v/>
      </c>
    </row>
    <row r="185" spans="3:3" x14ac:dyDescent="0.3">
      <c r="C185" t="str">
        <f t="shared" si="3"/>
        <v/>
      </c>
    </row>
    <row r="186" spans="3:3" x14ac:dyDescent="0.3">
      <c r="C186" t="str">
        <f t="shared" si="3"/>
        <v/>
      </c>
    </row>
    <row r="187" spans="3:3" x14ac:dyDescent="0.3">
      <c r="C187" t="str">
        <f t="shared" si="3"/>
        <v/>
      </c>
    </row>
    <row r="188" spans="3:3" x14ac:dyDescent="0.3">
      <c r="C188" t="str">
        <f t="shared" si="3"/>
        <v/>
      </c>
    </row>
    <row r="189" spans="3:3" x14ac:dyDescent="0.3">
      <c r="C189" t="str">
        <f t="shared" si="3"/>
        <v/>
      </c>
    </row>
    <row r="190" spans="3:3" x14ac:dyDescent="0.3">
      <c r="C190" t="str">
        <f t="shared" si="3"/>
        <v/>
      </c>
    </row>
    <row r="191" spans="3:3" x14ac:dyDescent="0.3">
      <c r="C191" t="str">
        <f t="shared" si="3"/>
        <v/>
      </c>
    </row>
    <row r="192" spans="3:3" x14ac:dyDescent="0.3">
      <c r="C192" t="str">
        <f t="shared" si="3"/>
        <v/>
      </c>
    </row>
    <row r="193" spans="3:3" x14ac:dyDescent="0.3">
      <c r="C193" t="str">
        <f t="shared" si="3"/>
        <v/>
      </c>
    </row>
    <row r="194" spans="3:3" x14ac:dyDescent="0.3">
      <c r="C194" t="str">
        <f t="shared" si="3"/>
        <v/>
      </c>
    </row>
    <row r="195" spans="3:3" x14ac:dyDescent="0.3">
      <c r="C195" t="str">
        <f t="shared" si="3"/>
        <v/>
      </c>
    </row>
    <row r="196" spans="3:3" x14ac:dyDescent="0.3">
      <c r="C196" t="str">
        <f t="shared" si="3"/>
        <v/>
      </c>
    </row>
    <row r="197" spans="3:3" x14ac:dyDescent="0.3">
      <c r="C197" t="str">
        <f t="shared" si="3"/>
        <v/>
      </c>
    </row>
    <row r="198" spans="3:3" x14ac:dyDescent="0.3">
      <c r="C198" t="str">
        <f t="shared" si="3"/>
        <v/>
      </c>
    </row>
    <row r="199" spans="3:3" x14ac:dyDescent="0.3">
      <c r="C199" t="str">
        <f t="shared" si="3"/>
        <v/>
      </c>
    </row>
    <row r="200" spans="3:3" x14ac:dyDescent="0.3">
      <c r="C200" t="str">
        <f t="shared" si="3"/>
        <v/>
      </c>
    </row>
    <row r="201" spans="3:3" x14ac:dyDescent="0.3">
      <c r="C201" t="str">
        <f t="shared" si="3"/>
        <v/>
      </c>
    </row>
    <row r="202" spans="3:3" x14ac:dyDescent="0.3">
      <c r="C202" t="str">
        <f t="shared" si="3"/>
        <v/>
      </c>
    </row>
    <row r="203" spans="3:3" x14ac:dyDescent="0.3">
      <c r="C203" t="str">
        <f t="shared" si="3"/>
        <v/>
      </c>
    </row>
    <row r="204" spans="3:3" x14ac:dyDescent="0.3">
      <c r="C204" t="str">
        <f t="shared" si="3"/>
        <v/>
      </c>
    </row>
    <row r="205" spans="3:3" x14ac:dyDescent="0.3">
      <c r="C205" t="str">
        <f t="shared" si="3"/>
        <v/>
      </c>
    </row>
    <row r="206" spans="3:3" x14ac:dyDescent="0.3">
      <c r="C206" t="str">
        <f t="shared" si="3"/>
        <v/>
      </c>
    </row>
    <row r="207" spans="3:3" x14ac:dyDescent="0.3">
      <c r="C207" t="str">
        <f t="shared" si="3"/>
        <v/>
      </c>
    </row>
    <row r="208" spans="3:3" x14ac:dyDescent="0.3">
      <c r="C208" t="str">
        <f t="shared" si="3"/>
        <v/>
      </c>
    </row>
    <row r="209" spans="3:3" x14ac:dyDescent="0.3">
      <c r="C209" t="str">
        <f t="shared" si="3"/>
        <v/>
      </c>
    </row>
    <row r="210" spans="3:3" x14ac:dyDescent="0.3">
      <c r="C210" t="str">
        <f t="shared" si="3"/>
        <v/>
      </c>
    </row>
    <row r="211" spans="3:3" x14ac:dyDescent="0.3">
      <c r="C211" t="str">
        <f t="shared" si="3"/>
        <v/>
      </c>
    </row>
    <row r="212" spans="3:3" x14ac:dyDescent="0.3">
      <c r="C212" t="str">
        <f t="shared" si="3"/>
        <v/>
      </c>
    </row>
    <row r="213" spans="3:3" x14ac:dyDescent="0.3">
      <c r="C213" t="str">
        <f t="shared" ref="C213:C276" si="4">IF(A213 &lt;&gt; "", SUBSTITUTE(SUBSTITUTE(A213, " ", ""), "&amp;", "And"), "")</f>
        <v/>
      </c>
    </row>
    <row r="214" spans="3:3" x14ac:dyDescent="0.3">
      <c r="C214" t="str">
        <f t="shared" si="4"/>
        <v/>
      </c>
    </row>
    <row r="215" spans="3:3" x14ac:dyDescent="0.3">
      <c r="C215" t="str">
        <f t="shared" si="4"/>
        <v/>
      </c>
    </row>
    <row r="216" spans="3:3" x14ac:dyDescent="0.3">
      <c r="C216" t="str">
        <f t="shared" si="4"/>
        <v/>
      </c>
    </row>
    <row r="217" spans="3:3" x14ac:dyDescent="0.3">
      <c r="C217" t="str">
        <f t="shared" si="4"/>
        <v/>
      </c>
    </row>
    <row r="218" spans="3:3" x14ac:dyDescent="0.3">
      <c r="C218" t="str">
        <f t="shared" si="4"/>
        <v/>
      </c>
    </row>
    <row r="219" spans="3:3" x14ac:dyDescent="0.3">
      <c r="C219" t="str">
        <f t="shared" si="4"/>
        <v/>
      </c>
    </row>
    <row r="220" spans="3:3" x14ac:dyDescent="0.3">
      <c r="C220" t="str">
        <f t="shared" si="4"/>
        <v/>
      </c>
    </row>
    <row r="221" spans="3:3" x14ac:dyDescent="0.3">
      <c r="C221" t="str">
        <f t="shared" si="4"/>
        <v/>
      </c>
    </row>
    <row r="222" spans="3:3" x14ac:dyDescent="0.3">
      <c r="C222" t="str">
        <f t="shared" si="4"/>
        <v/>
      </c>
    </row>
    <row r="223" spans="3:3" x14ac:dyDescent="0.3">
      <c r="C223" t="str">
        <f t="shared" si="4"/>
        <v/>
      </c>
    </row>
    <row r="224" spans="3:3" x14ac:dyDescent="0.3">
      <c r="C224" t="str">
        <f t="shared" si="4"/>
        <v/>
      </c>
    </row>
    <row r="225" spans="3:3" x14ac:dyDescent="0.3">
      <c r="C225" t="str">
        <f t="shared" si="4"/>
        <v/>
      </c>
    </row>
    <row r="226" spans="3:3" x14ac:dyDescent="0.3">
      <c r="C226" t="str">
        <f t="shared" si="4"/>
        <v/>
      </c>
    </row>
    <row r="227" spans="3:3" x14ac:dyDescent="0.3">
      <c r="C227" t="str">
        <f t="shared" si="4"/>
        <v/>
      </c>
    </row>
    <row r="228" spans="3:3" x14ac:dyDescent="0.3">
      <c r="C228" t="str">
        <f t="shared" si="4"/>
        <v/>
      </c>
    </row>
    <row r="229" spans="3:3" x14ac:dyDescent="0.3">
      <c r="C229" t="str">
        <f t="shared" si="4"/>
        <v/>
      </c>
    </row>
    <row r="230" spans="3:3" x14ac:dyDescent="0.3">
      <c r="C230" t="str">
        <f t="shared" si="4"/>
        <v/>
      </c>
    </row>
    <row r="231" spans="3:3" x14ac:dyDescent="0.3">
      <c r="C231" t="str">
        <f t="shared" si="4"/>
        <v/>
      </c>
    </row>
    <row r="232" spans="3:3" x14ac:dyDescent="0.3">
      <c r="C232" t="str">
        <f t="shared" si="4"/>
        <v/>
      </c>
    </row>
    <row r="233" spans="3:3" x14ac:dyDescent="0.3">
      <c r="C233" t="str">
        <f t="shared" si="4"/>
        <v/>
      </c>
    </row>
    <row r="234" spans="3:3" x14ac:dyDescent="0.3">
      <c r="C234" t="str">
        <f t="shared" si="4"/>
        <v/>
      </c>
    </row>
    <row r="235" spans="3:3" x14ac:dyDescent="0.3">
      <c r="C235" t="str">
        <f t="shared" si="4"/>
        <v/>
      </c>
    </row>
    <row r="236" spans="3:3" x14ac:dyDescent="0.3">
      <c r="C236" t="str">
        <f t="shared" si="4"/>
        <v/>
      </c>
    </row>
    <row r="237" spans="3:3" x14ac:dyDescent="0.3">
      <c r="C237" t="str">
        <f t="shared" si="4"/>
        <v/>
      </c>
    </row>
    <row r="238" spans="3:3" x14ac:dyDescent="0.3">
      <c r="C238" t="str">
        <f t="shared" si="4"/>
        <v/>
      </c>
    </row>
    <row r="239" spans="3:3" x14ac:dyDescent="0.3">
      <c r="C239" t="str">
        <f t="shared" si="4"/>
        <v/>
      </c>
    </row>
    <row r="240" spans="3:3" x14ac:dyDescent="0.3">
      <c r="C240" t="str">
        <f t="shared" si="4"/>
        <v/>
      </c>
    </row>
    <row r="241" spans="3:3" x14ac:dyDescent="0.3">
      <c r="C241" t="str">
        <f t="shared" si="4"/>
        <v/>
      </c>
    </row>
    <row r="242" spans="3:3" x14ac:dyDescent="0.3">
      <c r="C242" t="str">
        <f t="shared" si="4"/>
        <v/>
      </c>
    </row>
    <row r="243" spans="3:3" x14ac:dyDescent="0.3">
      <c r="C243" t="str">
        <f t="shared" si="4"/>
        <v/>
      </c>
    </row>
    <row r="244" spans="3:3" x14ac:dyDescent="0.3">
      <c r="C244" t="str">
        <f t="shared" si="4"/>
        <v/>
      </c>
    </row>
    <row r="245" spans="3:3" x14ac:dyDescent="0.3">
      <c r="C245" t="str">
        <f t="shared" si="4"/>
        <v/>
      </c>
    </row>
    <row r="246" spans="3:3" x14ac:dyDescent="0.3">
      <c r="C246" t="str">
        <f t="shared" si="4"/>
        <v/>
      </c>
    </row>
    <row r="247" spans="3:3" x14ac:dyDescent="0.3">
      <c r="C247" t="str">
        <f t="shared" si="4"/>
        <v/>
      </c>
    </row>
    <row r="248" spans="3:3" x14ac:dyDescent="0.3">
      <c r="C248" t="str">
        <f t="shared" si="4"/>
        <v/>
      </c>
    </row>
    <row r="249" spans="3:3" x14ac:dyDescent="0.3">
      <c r="C249" t="str">
        <f t="shared" si="4"/>
        <v/>
      </c>
    </row>
    <row r="250" spans="3:3" x14ac:dyDescent="0.3">
      <c r="C250" t="str">
        <f t="shared" si="4"/>
        <v/>
      </c>
    </row>
    <row r="251" spans="3:3" x14ac:dyDescent="0.3">
      <c r="C251" t="str">
        <f t="shared" si="4"/>
        <v/>
      </c>
    </row>
    <row r="252" spans="3:3" x14ac:dyDescent="0.3">
      <c r="C252" t="str">
        <f t="shared" si="4"/>
        <v/>
      </c>
    </row>
    <row r="253" spans="3:3" x14ac:dyDescent="0.3">
      <c r="C253" t="str">
        <f t="shared" si="4"/>
        <v/>
      </c>
    </row>
    <row r="254" spans="3:3" x14ac:dyDescent="0.3">
      <c r="C254" t="str">
        <f t="shared" si="4"/>
        <v/>
      </c>
    </row>
    <row r="255" spans="3:3" x14ac:dyDescent="0.3">
      <c r="C255" t="str">
        <f t="shared" si="4"/>
        <v/>
      </c>
    </row>
    <row r="256" spans="3:3" x14ac:dyDescent="0.3">
      <c r="C256" t="str">
        <f t="shared" si="4"/>
        <v/>
      </c>
    </row>
    <row r="257" spans="3:3" x14ac:dyDescent="0.3">
      <c r="C257" t="str">
        <f t="shared" si="4"/>
        <v/>
      </c>
    </row>
    <row r="258" spans="3:3" x14ac:dyDescent="0.3">
      <c r="C258" t="str">
        <f t="shared" si="4"/>
        <v/>
      </c>
    </row>
    <row r="259" spans="3:3" x14ac:dyDescent="0.3">
      <c r="C259" t="str">
        <f t="shared" si="4"/>
        <v/>
      </c>
    </row>
    <row r="260" spans="3:3" x14ac:dyDescent="0.3">
      <c r="C260" t="str">
        <f t="shared" si="4"/>
        <v/>
      </c>
    </row>
    <row r="261" spans="3:3" x14ac:dyDescent="0.3">
      <c r="C261" t="str">
        <f t="shared" si="4"/>
        <v/>
      </c>
    </row>
    <row r="262" spans="3:3" x14ac:dyDescent="0.3">
      <c r="C262" t="str">
        <f t="shared" si="4"/>
        <v/>
      </c>
    </row>
    <row r="263" spans="3:3" x14ac:dyDescent="0.3">
      <c r="C263" t="str">
        <f t="shared" si="4"/>
        <v/>
      </c>
    </row>
    <row r="264" spans="3:3" x14ac:dyDescent="0.3">
      <c r="C264" t="str">
        <f t="shared" si="4"/>
        <v/>
      </c>
    </row>
    <row r="265" spans="3:3" x14ac:dyDescent="0.3">
      <c r="C265" t="str">
        <f t="shared" si="4"/>
        <v/>
      </c>
    </row>
    <row r="266" spans="3:3" x14ac:dyDescent="0.3">
      <c r="C266" t="str">
        <f t="shared" si="4"/>
        <v/>
      </c>
    </row>
    <row r="267" spans="3:3" x14ac:dyDescent="0.3">
      <c r="C267" t="str">
        <f t="shared" si="4"/>
        <v/>
      </c>
    </row>
    <row r="268" spans="3:3" x14ac:dyDescent="0.3">
      <c r="C268" t="str">
        <f t="shared" si="4"/>
        <v/>
      </c>
    </row>
    <row r="269" spans="3:3" x14ac:dyDescent="0.3">
      <c r="C269" t="str">
        <f t="shared" si="4"/>
        <v/>
      </c>
    </row>
    <row r="270" spans="3:3" x14ac:dyDescent="0.3">
      <c r="C270" t="str">
        <f t="shared" si="4"/>
        <v/>
      </c>
    </row>
    <row r="271" spans="3:3" x14ac:dyDescent="0.3">
      <c r="C271" t="str">
        <f t="shared" si="4"/>
        <v/>
      </c>
    </row>
    <row r="272" spans="3:3" x14ac:dyDescent="0.3">
      <c r="C272" t="str">
        <f t="shared" si="4"/>
        <v/>
      </c>
    </row>
    <row r="273" spans="3:3" x14ac:dyDescent="0.3">
      <c r="C273" t="str">
        <f t="shared" si="4"/>
        <v/>
      </c>
    </row>
    <row r="274" spans="3:3" x14ac:dyDescent="0.3">
      <c r="C274" t="str">
        <f t="shared" si="4"/>
        <v/>
      </c>
    </row>
    <row r="275" spans="3:3" x14ac:dyDescent="0.3">
      <c r="C275" t="str">
        <f t="shared" si="4"/>
        <v/>
      </c>
    </row>
    <row r="276" spans="3:3" x14ac:dyDescent="0.3">
      <c r="C276" t="str">
        <f t="shared" si="4"/>
        <v/>
      </c>
    </row>
    <row r="277" spans="3:3" x14ac:dyDescent="0.3">
      <c r="C277" t="str">
        <f t="shared" ref="C277:C321" si="5">IF(A277 &lt;&gt; "", SUBSTITUTE(SUBSTITUTE(A277, " ", ""), "&amp;", "And"), "")</f>
        <v/>
      </c>
    </row>
    <row r="278" spans="3:3" x14ac:dyDescent="0.3">
      <c r="C278" t="str">
        <f t="shared" si="5"/>
        <v/>
      </c>
    </row>
    <row r="279" spans="3:3" x14ac:dyDescent="0.3">
      <c r="C279" t="str">
        <f t="shared" si="5"/>
        <v/>
      </c>
    </row>
    <row r="280" spans="3:3" x14ac:dyDescent="0.3">
      <c r="C280" t="str">
        <f t="shared" si="5"/>
        <v/>
      </c>
    </row>
    <row r="281" spans="3:3" x14ac:dyDescent="0.3">
      <c r="C281" t="str">
        <f t="shared" si="5"/>
        <v/>
      </c>
    </row>
    <row r="282" spans="3:3" x14ac:dyDescent="0.3">
      <c r="C282" t="str">
        <f t="shared" si="5"/>
        <v/>
      </c>
    </row>
    <row r="283" spans="3:3" x14ac:dyDescent="0.3">
      <c r="C283" t="str">
        <f t="shared" si="5"/>
        <v/>
      </c>
    </row>
    <row r="284" spans="3:3" x14ac:dyDescent="0.3">
      <c r="C284" t="str">
        <f t="shared" si="5"/>
        <v/>
      </c>
    </row>
    <row r="285" spans="3:3" x14ac:dyDescent="0.3">
      <c r="C285" t="str">
        <f t="shared" si="5"/>
        <v/>
      </c>
    </row>
    <row r="286" spans="3:3" x14ac:dyDescent="0.3">
      <c r="C286" t="str">
        <f t="shared" si="5"/>
        <v/>
      </c>
    </row>
    <row r="287" spans="3:3" x14ac:dyDescent="0.3">
      <c r="C287" t="str">
        <f t="shared" si="5"/>
        <v/>
      </c>
    </row>
    <row r="288" spans="3:3" x14ac:dyDescent="0.3">
      <c r="C288" t="str">
        <f t="shared" si="5"/>
        <v/>
      </c>
    </row>
    <row r="289" spans="3:3" x14ac:dyDescent="0.3">
      <c r="C289" t="str">
        <f t="shared" si="5"/>
        <v/>
      </c>
    </row>
    <row r="290" spans="3:3" x14ac:dyDescent="0.3">
      <c r="C290" t="str">
        <f t="shared" si="5"/>
        <v/>
      </c>
    </row>
    <row r="291" spans="3:3" x14ac:dyDescent="0.3">
      <c r="C291" t="str">
        <f t="shared" si="5"/>
        <v/>
      </c>
    </row>
    <row r="292" spans="3:3" x14ac:dyDescent="0.3">
      <c r="C292" t="str">
        <f t="shared" si="5"/>
        <v/>
      </c>
    </row>
    <row r="293" spans="3:3" x14ac:dyDescent="0.3">
      <c r="C293" t="str">
        <f t="shared" si="5"/>
        <v/>
      </c>
    </row>
    <row r="294" spans="3:3" x14ac:dyDescent="0.3">
      <c r="C294" t="str">
        <f t="shared" si="5"/>
        <v/>
      </c>
    </row>
    <row r="295" spans="3:3" x14ac:dyDescent="0.3">
      <c r="C295" t="str">
        <f t="shared" si="5"/>
        <v/>
      </c>
    </row>
    <row r="296" spans="3:3" x14ac:dyDescent="0.3">
      <c r="C296" t="str">
        <f t="shared" si="5"/>
        <v/>
      </c>
    </row>
    <row r="297" spans="3:3" x14ac:dyDescent="0.3">
      <c r="C297" t="str">
        <f t="shared" si="5"/>
        <v/>
      </c>
    </row>
    <row r="298" spans="3:3" x14ac:dyDescent="0.3">
      <c r="C298" t="str">
        <f t="shared" si="5"/>
        <v/>
      </c>
    </row>
    <row r="299" spans="3:3" x14ac:dyDescent="0.3">
      <c r="C299" t="str">
        <f t="shared" si="5"/>
        <v/>
      </c>
    </row>
    <row r="300" spans="3:3" x14ac:dyDescent="0.3">
      <c r="C300" t="str">
        <f t="shared" si="5"/>
        <v/>
      </c>
    </row>
    <row r="301" spans="3:3" x14ac:dyDescent="0.3">
      <c r="C301" t="str">
        <f t="shared" si="5"/>
        <v/>
      </c>
    </row>
    <row r="302" spans="3:3" x14ac:dyDescent="0.3">
      <c r="C302" t="str">
        <f t="shared" si="5"/>
        <v/>
      </c>
    </row>
    <row r="303" spans="3:3" x14ac:dyDescent="0.3">
      <c r="C303" t="str">
        <f t="shared" si="5"/>
        <v/>
      </c>
    </row>
    <row r="304" spans="3:3" x14ac:dyDescent="0.3">
      <c r="C304" t="str">
        <f t="shared" si="5"/>
        <v/>
      </c>
    </row>
    <row r="305" spans="3:3" x14ac:dyDescent="0.3">
      <c r="C305" t="str">
        <f t="shared" si="5"/>
        <v/>
      </c>
    </row>
    <row r="306" spans="3:3" x14ac:dyDescent="0.3">
      <c r="C306" t="str">
        <f t="shared" si="5"/>
        <v/>
      </c>
    </row>
    <row r="307" spans="3:3" x14ac:dyDescent="0.3">
      <c r="C307" t="str">
        <f t="shared" si="5"/>
        <v/>
      </c>
    </row>
    <row r="308" spans="3:3" x14ac:dyDescent="0.3">
      <c r="C308" t="str">
        <f t="shared" si="5"/>
        <v/>
      </c>
    </row>
    <row r="309" spans="3:3" x14ac:dyDescent="0.3">
      <c r="C309" t="str">
        <f t="shared" si="5"/>
        <v/>
      </c>
    </row>
    <row r="310" spans="3:3" x14ac:dyDescent="0.3">
      <c r="C310" t="str">
        <f t="shared" si="5"/>
        <v/>
      </c>
    </row>
    <row r="311" spans="3:3" x14ac:dyDescent="0.3">
      <c r="C311" t="str">
        <f t="shared" si="5"/>
        <v/>
      </c>
    </row>
    <row r="312" spans="3:3" x14ac:dyDescent="0.3">
      <c r="C312" t="str">
        <f t="shared" si="5"/>
        <v/>
      </c>
    </row>
    <row r="313" spans="3:3" x14ac:dyDescent="0.3">
      <c r="C313" t="str">
        <f t="shared" si="5"/>
        <v/>
      </c>
    </row>
    <row r="314" spans="3:3" x14ac:dyDescent="0.3">
      <c r="C314" t="str">
        <f t="shared" si="5"/>
        <v/>
      </c>
    </row>
    <row r="315" spans="3:3" x14ac:dyDescent="0.3">
      <c r="C315" t="str">
        <f t="shared" si="5"/>
        <v/>
      </c>
    </row>
    <row r="316" spans="3:3" x14ac:dyDescent="0.3">
      <c r="C316" t="str">
        <f t="shared" si="5"/>
        <v/>
      </c>
    </row>
    <row r="317" spans="3:3" x14ac:dyDescent="0.3">
      <c r="C317" t="str">
        <f t="shared" si="5"/>
        <v/>
      </c>
    </row>
    <row r="318" spans="3:3" x14ac:dyDescent="0.3">
      <c r="C318" t="str">
        <f t="shared" si="5"/>
        <v/>
      </c>
    </row>
    <row r="319" spans="3:3" x14ac:dyDescent="0.3">
      <c r="C319" t="str">
        <f t="shared" si="5"/>
        <v/>
      </c>
    </row>
    <row r="320" spans="3:3" x14ac:dyDescent="0.3">
      <c r="C320" t="str">
        <f t="shared" si="5"/>
        <v/>
      </c>
    </row>
    <row r="321" spans="3:3" x14ac:dyDescent="0.3">
      <c r="C321" t="str">
        <f t="shared" si="5"/>
        <v/>
      </c>
    </row>
  </sheetData>
  <phoneticPr fontId="2" type="noConversion"/>
  <conditionalFormatting sqref="C2:C50">
    <cfRule type="duplicateValues" dxfId="5" priority="2"/>
    <cfRule type="containsBlanks" priority="1" stopIfTrue="1">
      <formula>LEN(TRIM(C2))=0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J25" sqref="J25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"",SUBSTITUTE(SUBSTITUTE(SUBSTITUTE(SUBSTITUTE(A2,"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duplicateValues" dxfId="3" priority="2"/>
    <cfRule type="containsBlanks" priority="1" stopIfTrue="1">
      <formula>LEN(TRIM(B2))=0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tabSelected="1" zoomScaleNormal="100" workbookViewId="0">
      <pane ySplit="1" topLeftCell="A2" activePane="bottomLeft" state="frozen"/>
      <selection pane="bottomLeft" activeCell="F1" sqref="F1"/>
    </sheetView>
  </sheetViews>
  <sheetFormatPr defaultColWidth="8.6640625" defaultRowHeight="14.4" x14ac:dyDescent="0.3"/>
  <cols>
    <col min="1" max="1" width="25" customWidth="1"/>
    <col min="2" max="2" width="58.5546875" bestFit="1" customWidth="1"/>
    <col min="3" max="3" width="32" bestFit="1" customWidth="1"/>
    <col min="4" max="4" width="87.44140625" bestFit="1" customWidth="1"/>
    <col min="5" max="5" width="48.6640625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A7" sqref="A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Software Systems</vt:lpstr>
      <vt:lpstr>Software System Interfaces</vt:lpstr>
      <vt:lpstr>Software System Interface Flows</vt:lpstr>
      <vt:lpstr>Containers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2024-02-24T09:56:43Z</dcterms:modified>
  <cp:category/>
  <cp:contentStatus/>
</cp:coreProperties>
</file>